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laghida\Documents\GitLab\cassy\tests\bolts\res\"/>
    </mc:Choice>
  </mc:AlternateContent>
  <xr:revisionPtr revIDLastSave="0" documentId="13_ncr:1_{81D5AB07-7B05-4809-AFD4-5E13714268A7}" xr6:coauthVersionLast="47" xr6:coauthVersionMax="47" xr10:uidLastSave="{00000000-0000-0000-0000-000000000000}"/>
  <bookViews>
    <workbookView xWindow="57480" yWindow="-120" windowWidth="29040" windowHeight="15840" xr2:uid="{F09436F1-1F29-42A5-B1F9-53A78950820F}"/>
  </bookViews>
  <sheets>
    <sheet name="Bol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6" i="1"/>
</calcChain>
</file>

<file path=xl/sharedStrings.xml><?xml version="1.0" encoding="utf-8"?>
<sst xmlns="http://schemas.openxmlformats.org/spreadsheetml/2006/main" count="57" uniqueCount="42">
  <si>
    <t>Dimensions of the bolts and assembled parts</t>
  </si>
  <si>
    <t>SYMBOL</t>
  </si>
  <si>
    <t>PARAMETER</t>
  </si>
  <si>
    <t>VALUE</t>
  </si>
  <si>
    <t>UNIT</t>
  </si>
  <si>
    <t>p</t>
  </si>
  <si>
    <t>threatd pitch</t>
  </si>
  <si>
    <t>[mm]</t>
  </si>
  <si>
    <t>d</t>
  </si>
  <si>
    <t>maximum diameter (nominale)</t>
  </si>
  <si>
    <r>
      <t>d</t>
    </r>
    <r>
      <rPr>
        <b/>
        <vertAlign val="subscript"/>
        <sz val="11"/>
        <rFont val="Arial"/>
        <family val="2"/>
      </rPr>
      <t>n</t>
    </r>
  </si>
  <si>
    <t>core diameter (minor)</t>
  </si>
  <si>
    <r>
      <t>d</t>
    </r>
    <r>
      <rPr>
        <b/>
        <vertAlign val="subscript"/>
        <sz val="11"/>
        <rFont val="Arial"/>
        <family val="2"/>
      </rPr>
      <t>1</t>
    </r>
  </si>
  <si>
    <t>diameter of smooth shank</t>
  </si>
  <si>
    <r>
      <t>d</t>
    </r>
    <r>
      <rPr>
        <b/>
        <vertAlign val="subscript"/>
        <sz val="11"/>
        <rFont val="Arial"/>
        <family val="2"/>
      </rPr>
      <t>f</t>
    </r>
  </si>
  <si>
    <t>pitch diameter (mean)</t>
  </si>
  <si>
    <t>D</t>
  </si>
  <si>
    <t>minor diameter of tapping</t>
  </si>
  <si>
    <r>
      <t>D</t>
    </r>
    <r>
      <rPr>
        <b/>
        <vertAlign val="subscript"/>
        <sz val="11"/>
        <rFont val="Arial"/>
        <family val="2"/>
      </rPr>
      <t>p</t>
    </r>
  </si>
  <si>
    <t>diameter of drilling circle</t>
  </si>
  <si>
    <r>
      <t>L</t>
    </r>
    <r>
      <rPr>
        <b/>
        <vertAlign val="subscript"/>
        <sz val="11"/>
        <rFont val="Arial"/>
        <family val="2"/>
      </rPr>
      <t>e</t>
    </r>
  </si>
  <si>
    <t>insertion length</t>
  </si>
  <si>
    <t>H</t>
  </si>
  <si>
    <t>height of head</t>
  </si>
  <si>
    <t>a</t>
  </si>
  <si>
    <t>diameter of head</t>
  </si>
  <si>
    <t>B</t>
  </si>
  <si>
    <t>inside diameter of washer</t>
  </si>
  <si>
    <r>
      <t>K</t>
    </r>
    <r>
      <rPr>
        <b/>
        <vertAlign val="subscript"/>
        <sz val="11"/>
        <color theme="1"/>
        <rFont val="Arial"/>
        <family val="2"/>
      </rPr>
      <t>F</t>
    </r>
  </si>
  <si>
    <t>-</t>
  </si>
  <si>
    <t>f</t>
  </si>
  <si>
    <t>friction coefficient between engaged threads</t>
  </si>
  <si>
    <t>friction coefficient under head</t>
  </si>
  <si>
    <t>C</t>
  </si>
  <si>
    <t>f_prime</t>
  </si>
  <si>
    <t>mean diameter under head</t>
  </si>
  <si>
    <r>
      <t>D</t>
    </r>
    <r>
      <rPr>
        <b/>
        <vertAlign val="subscript"/>
        <sz val="11"/>
        <rFont val="Arial"/>
        <family val="2"/>
      </rPr>
      <t>m</t>
    </r>
  </si>
  <si>
    <t>thickness of washer</t>
  </si>
  <si>
    <t>Material name</t>
  </si>
  <si>
    <t>SS660 (non leak-tight)</t>
  </si>
  <si>
    <t>fatigue stress coefficient (RB 3285.11)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</si>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</sst>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bscript"/>
      <sz val="11"/>
      <name val="Arial"/>
      <family val="2"/>
    </font>
    <font>
      <b/>
      <vertAlign val="subscript"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3" borderId="19" xfId="0" applyNumberFormat="1" applyFont="1" applyFill="1" applyBorder="1" applyAlignment="1">
      <alignment horizontal="center" vertical="center"/>
    </xf>
    <xf numFmtId="2" fontId="2" fillId="3" borderId="20" xfId="0" applyNumberFormat="1" applyFont="1" applyFill="1" applyBorder="1" applyAlignment="1">
      <alignment horizontal="center" vertical="center"/>
    </xf>
    <xf numFmtId="2" fontId="5" fillId="3" borderId="20" xfId="0" applyNumberFormat="1" applyFont="1" applyFill="1" applyBorder="1" applyAlignment="1">
      <alignment horizontal="center" vertical="center"/>
    </xf>
    <xf numFmtId="2" fontId="5" fillId="3" borderId="21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106634</xdr:colOff>
      <xdr:row>0</xdr:row>
      <xdr:rowOff>0</xdr:rowOff>
    </xdr:from>
    <xdr:to>
      <xdr:col>9</xdr:col>
      <xdr:colOff>169601</xdr:colOff>
      <xdr:row>23</xdr:row>
      <xdr:rowOff>20298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AC73E18-F856-453E-8434-EF799C9B4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354" y="0"/>
          <a:ext cx="3872967" cy="4190343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107008</xdr:colOff>
      <xdr:row>24</xdr:row>
      <xdr:rowOff>34685</xdr:rowOff>
    </xdr:from>
    <xdr:to>
      <xdr:col>9</xdr:col>
      <xdr:colOff>168954</xdr:colOff>
      <xdr:row>25</xdr:row>
      <xdr:rowOff>117461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CA4510C-788B-4412-B1AA-C9145D60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6748" y="4408565"/>
          <a:ext cx="3871946" cy="265656"/>
        </a:xfrm>
        <a:prstGeom prst="rect">
          <a:avLst/>
        </a:prstGeom>
      </xdr:spPr>
    </xdr:pic>
    <xdr:clientData/>
  </xdr:twoCellAnchor>
  <xdr:twoCellAnchor editAs="oneCell">
    <xdr:from>
      <xdr:col>8</xdr:col>
      <xdr:colOff>678181</xdr:colOff>
      <xdr:row>27</xdr:row>
      <xdr:rowOff>125730</xdr:rowOff>
    </xdr:from>
    <xdr:to>
      <xdr:col>24</xdr:col>
      <xdr:colOff>207186</xdr:colOff>
      <xdr:row>59</xdr:row>
      <xdr:rowOff>152400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6FE6A6FB-3189-4342-ADC7-6BB1E495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0681" y="5212080"/>
          <a:ext cx="9734090" cy="61226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27</xdr:row>
      <xdr:rowOff>152400</xdr:rowOff>
    </xdr:from>
    <xdr:to>
      <xdr:col>7</xdr:col>
      <xdr:colOff>510541</xdr:colOff>
      <xdr:row>59</xdr:row>
      <xdr:rowOff>156101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21A20FBB-4224-4C8A-A7E4-5F8255F18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238750"/>
          <a:ext cx="9258300" cy="6099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CF97-1329-4AF8-AE95-32CC01118615}">
  <dimension ref="A1:K24"/>
  <sheetViews>
    <sheetView tabSelected="1" zoomScale="145" zoomScaleNormal="145" workbookViewId="0">
      <selection activeCell="B24" sqref="B24"/>
    </sheetView>
  </sheetViews>
  <sheetFormatPr defaultColWidth="8.84375" defaultRowHeight="14.6" x14ac:dyDescent="0.4"/>
  <cols>
    <col min="1" max="1" width="12.53515625" style="2" customWidth="1"/>
    <col min="2" max="2" width="44" style="2" customWidth="1"/>
    <col min="3" max="3" width="26.69140625" style="2" customWidth="1"/>
    <col min="4" max="11" width="11.15234375" style="2" customWidth="1"/>
    <col min="12" max="16384" width="8.84375" style="2"/>
  </cols>
  <sheetData>
    <row r="1" spans="1:11" ht="15" thickBot="1" x14ac:dyDescent="0.45">
      <c r="A1" s="33" t="s">
        <v>0</v>
      </c>
      <c r="B1" s="34"/>
      <c r="C1" s="34"/>
      <c r="D1" s="35"/>
      <c r="E1" s="1"/>
      <c r="F1" s="1"/>
      <c r="G1" s="1"/>
      <c r="H1" s="1"/>
      <c r="I1" s="1"/>
      <c r="J1" s="1"/>
      <c r="K1" s="1"/>
    </row>
    <row r="2" spans="1:11" ht="15" thickBot="1" x14ac:dyDescent="0.45">
      <c r="A2" s="10" t="s">
        <v>1</v>
      </c>
      <c r="B2" s="11" t="s">
        <v>2</v>
      </c>
      <c r="C2" s="12" t="s">
        <v>3</v>
      </c>
      <c r="D2" s="13" t="s">
        <v>4</v>
      </c>
      <c r="E2" s="1"/>
      <c r="F2" s="1"/>
      <c r="G2" s="1"/>
      <c r="H2" s="1"/>
      <c r="I2" s="1"/>
      <c r="J2" s="1"/>
      <c r="K2" s="1"/>
    </row>
    <row r="3" spans="1:11" x14ac:dyDescent="0.4">
      <c r="A3" s="14" t="s">
        <v>5</v>
      </c>
      <c r="B3" s="15" t="s">
        <v>6</v>
      </c>
      <c r="C3" s="29">
        <v>1.75</v>
      </c>
      <c r="D3" s="17" t="s">
        <v>7</v>
      </c>
      <c r="E3" s="1"/>
      <c r="F3" s="1"/>
      <c r="G3" s="1"/>
      <c r="H3" s="1"/>
      <c r="I3" s="1"/>
      <c r="J3" s="1"/>
      <c r="K3" s="1"/>
    </row>
    <row r="4" spans="1:11" x14ac:dyDescent="0.4">
      <c r="A4" s="3" t="s">
        <v>8</v>
      </c>
      <c r="B4" s="4" t="s">
        <v>9</v>
      </c>
      <c r="C4" s="30">
        <v>12</v>
      </c>
      <c r="D4" s="5" t="s">
        <v>7</v>
      </c>
      <c r="E4" s="1"/>
      <c r="F4" s="1"/>
      <c r="G4" s="1"/>
      <c r="H4" s="1"/>
      <c r="I4" s="1"/>
      <c r="J4" s="1"/>
      <c r="K4" s="1"/>
    </row>
    <row r="5" spans="1:11" ht="16.75" x14ac:dyDescent="0.4">
      <c r="A5" s="3" t="s">
        <v>10</v>
      </c>
      <c r="B5" s="4" t="s">
        <v>11</v>
      </c>
      <c r="C5" s="30">
        <v>11.73</v>
      </c>
      <c r="D5" s="5" t="s">
        <v>7</v>
      </c>
      <c r="E5" s="1"/>
      <c r="F5" s="1"/>
      <c r="G5" s="1"/>
      <c r="H5" s="1"/>
      <c r="I5" s="1"/>
      <c r="J5" s="1"/>
      <c r="K5" s="1"/>
    </row>
    <row r="6" spans="1:11" ht="16.75" x14ac:dyDescent="0.4">
      <c r="A6" s="3" t="s">
        <v>12</v>
      </c>
      <c r="B6" s="4" t="s">
        <v>13</v>
      </c>
      <c r="C6" s="30">
        <f>C4</f>
        <v>12</v>
      </c>
      <c r="D6" s="5" t="s">
        <v>7</v>
      </c>
      <c r="E6" s="1"/>
      <c r="F6" s="1"/>
      <c r="G6" s="1"/>
      <c r="H6" s="1"/>
      <c r="I6" s="1"/>
      <c r="J6" s="1"/>
      <c r="K6" s="1"/>
    </row>
    <row r="7" spans="1:11" ht="16.75" x14ac:dyDescent="0.4">
      <c r="A7" s="3" t="s">
        <v>14</v>
      </c>
      <c r="B7" s="4" t="s">
        <v>15</v>
      </c>
      <c r="C7" s="30">
        <v>12</v>
      </c>
      <c r="D7" s="5" t="s">
        <v>7</v>
      </c>
      <c r="E7" s="1"/>
      <c r="F7" s="1"/>
      <c r="G7" s="1"/>
      <c r="H7" s="1"/>
      <c r="I7" s="1"/>
      <c r="J7" s="1"/>
      <c r="K7" s="1"/>
    </row>
    <row r="8" spans="1:11" x14ac:dyDescent="0.4">
      <c r="A8" s="3" t="s">
        <v>16</v>
      </c>
      <c r="B8" s="4" t="s">
        <v>17</v>
      </c>
      <c r="C8" s="31">
        <v>11.43</v>
      </c>
      <c r="D8" s="5" t="s">
        <v>7</v>
      </c>
      <c r="E8" s="1"/>
      <c r="F8" s="1"/>
      <c r="G8" s="1"/>
      <c r="H8" s="1"/>
      <c r="I8" s="1"/>
      <c r="J8" s="1"/>
      <c r="K8" s="1"/>
    </row>
    <row r="9" spans="1:11" ht="16.75" x14ac:dyDescent="0.4">
      <c r="A9" s="3" t="s">
        <v>18</v>
      </c>
      <c r="B9" s="4" t="s">
        <v>19</v>
      </c>
      <c r="C9" s="31">
        <f>C4+1</f>
        <v>13</v>
      </c>
      <c r="D9" s="5" t="s">
        <v>7</v>
      </c>
      <c r="E9" s="1"/>
      <c r="F9" s="1"/>
      <c r="G9" s="1"/>
      <c r="H9" s="1"/>
      <c r="I9" s="1"/>
      <c r="J9" s="1"/>
      <c r="K9" s="1"/>
    </row>
    <row r="10" spans="1:11" ht="16.75" x14ac:dyDescent="0.4">
      <c r="A10" s="3" t="s">
        <v>36</v>
      </c>
      <c r="B10" s="4" t="s">
        <v>35</v>
      </c>
      <c r="C10" s="30">
        <v>13.7</v>
      </c>
      <c r="D10" s="5" t="s">
        <v>7</v>
      </c>
      <c r="E10" s="1"/>
      <c r="F10" s="1"/>
      <c r="G10" s="1"/>
      <c r="H10" s="1"/>
      <c r="I10" s="1"/>
      <c r="J10" s="1"/>
      <c r="K10" s="1"/>
    </row>
    <row r="11" spans="1:11" ht="16.75" x14ac:dyDescent="0.4">
      <c r="A11" s="3" t="s">
        <v>20</v>
      </c>
      <c r="B11" s="4" t="s">
        <v>21</v>
      </c>
      <c r="C11" s="31">
        <v>60</v>
      </c>
      <c r="D11" s="5" t="s">
        <v>7</v>
      </c>
      <c r="E11" s="1"/>
      <c r="F11" s="1"/>
      <c r="G11" s="1"/>
      <c r="H11" s="1"/>
      <c r="I11" s="1"/>
      <c r="J11" s="1"/>
      <c r="K11" s="1"/>
    </row>
    <row r="12" spans="1:11" x14ac:dyDescent="0.4">
      <c r="A12" s="3" t="s">
        <v>22</v>
      </c>
      <c r="B12" s="6" t="s">
        <v>23</v>
      </c>
      <c r="C12" s="31">
        <v>6</v>
      </c>
      <c r="D12" s="5" t="s">
        <v>7</v>
      </c>
      <c r="E12" s="1"/>
      <c r="F12" s="1"/>
      <c r="G12" s="1"/>
      <c r="H12" s="1"/>
      <c r="I12" s="1"/>
      <c r="J12" s="1"/>
      <c r="K12" s="1"/>
    </row>
    <row r="13" spans="1:11" x14ac:dyDescent="0.4">
      <c r="A13" s="3" t="s">
        <v>24</v>
      </c>
      <c r="B13" s="6" t="s">
        <v>25</v>
      </c>
      <c r="C13" s="31">
        <v>18</v>
      </c>
      <c r="D13" s="5" t="s">
        <v>7</v>
      </c>
      <c r="E13" s="1"/>
      <c r="F13" s="1"/>
      <c r="G13" s="1"/>
      <c r="H13" s="1"/>
      <c r="I13" s="1"/>
      <c r="J13" s="1"/>
      <c r="K13" s="1"/>
    </row>
    <row r="14" spans="1:11" x14ac:dyDescent="0.4">
      <c r="A14" s="7" t="s">
        <v>26</v>
      </c>
      <c r="B14" s="8" t="s">
        <v>27</v>
      </c>
      <c r="C14" s="31">
        <v>0</v>
      </c>
      <c r="D14" s="9" t="s">
        <v>7</v>
      </c>
      <c r="E14" s="1"/>
      <c r="F14" s="1"/>
      <c r="G14" s="1"/>
      <c r="H14" s="1"/>
      <c r="I14" s="1"/>
      <c r="J14" s="1"/>
      <c r="K14" s="1"/>
    </row>
    <row r="15" spans="1:11" ht="15" thickBot="1" x14ac:dyDescent="0.45">
      <c r="A15" s="24" t="s">
        <v>33</v>
      </c>
      <c r="B15" s="25" t="s">
        <v>37</v>
      </c>
      <c r="C15" s="32">
        <v>0</v>
      </c>
      <c r="D15" s="23" t="s">
        <v>7</v>
      </c>
      <c r="E15" s="1"/>
      <c r="F15" s="1"/>
      <c r="G15" s="1"/>
      <c r="H15" s="1"/>
      <c r="I15" s="1"/>
      <c r="J15" s="1"/>
      <c r="K15" s="1"/>
    </row>
    <row r="16" spans="1:11" ht="16.75" x14ac:dyDescent="0.4">
      <c r="A16" s="26" t="s">
        <v>28</v>
      </c>
      <c r="B16" s="27" t="s">
        <v>40</v>
      </c>
      <c r="C16" s="16">
        <v>4</v>
      </c>
      <c r="D16" s="28" t="s">
        <v>29</v>
      </c>
      <c r="E16" s="1"/>
      <c r="F16" s="1"/>
      <c r="G16" s="1"/>
      <c r="H16" s="1"/>
      <c r="I16" s="1"/>
      <c r="J16" s="1"/>
      <c r="K16" s="1"/>
    </row>
    <row r="17" spans="1:11" x14ac:dyDescent="0.4">
      <c r="A17" s="3" t="s">
        <v>30</v>
      </c>
      <c r="B17" s="6" t="s">
        <v>31</v>
      </c>
      <c r="C17" s="18">
        <v>0.15</v>
      </c>
      <c r="D17" s="5" t="s">
        <v>29</v>
      </c>
      <c r="E17" s="1"/>
      <c r="F17" s="1"/>
      <c r="G17" s="1"/>
      <c r="H17" s="1"/>
      <c r="I17" s="1"/>
      <c r="J17" s="1"/>
      <c r="K17" s="1"/>
    </row>
    <row r="18" spans="1:11" ht="15" thickBot="1" x14ac:dyDescent="0.45">
      <c r="A18" s="19" t="s">
        <v>34</v>
      </c>
      <c r="B18" s="20" t="s">
        <v>32</v>
      </c>
      <c r="C18" s="21">
        <v>0.15</v>
      </c>
      <c r="D18" s="22" t="s">
        <v>29</v>
      </c>
      <c r="E18" s="1"/>
      <c r="F18" s="1"/>
      <c r="G18" s="1"/>
      <c r="H18" s="1"/>
      <c r="I18" s="1"/>
      <c r="J18" s="1"/>
      <c r="K18" s="1"/>
    </row>
    <row r="19" spans="1:11" ht="15" thickBot="1" x14ac:dyDescent="0.45">
      <c r="A19" s="19" t="s">
        <v>41</v>
      </c>
      <c r="B19" s="20" t="s">
        <v>38</v>
      </c>
      <c r="C19" s="21" t="s">
        <v>39</v>
      </c>
      <c r="D19" s="22" t="s">
        <v>29</v>
      </c>
      <c r="E19" s="1"/>
      <c r="F19" s="1"/>
      <c r="G19" s="1"/>
      <c r="H19" s="1"/>
      <c r="I19" s="1"/>
      <c r="J19" s="1"/>
      <c r="K19" s="1"/>
    </row>
    <row r="20" spans="1:1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126cb-1963-4e7b-b13a-15d2f64f78e9">
      <Terms xmlns="http://schemas.microsoft.com/office/infopath/2007/PartnerControls"/>
    </lcf76f155ced4ddcb4097134ff3c332f>
    <TaxCatchAll xmlns="f41f4605-e15c-4135-bd96-d3970596b1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460EF5-1FE2-485A-B28D-6307C5242F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3875E3-DFDB-4F02-8AAC-AEAA1E089733}">
  <ds:schemaRefs>
    <ds:schemaRef ds:uri="http://schemas.microsoft.com/office/2006/metadata/properties"/>
    <ds:schemaRef ds:uri="http://schemas.microsoft.com/office/infopath/2007/PartnerControls"/>
    <ds:schemaRef ds:uri="bf2f5ce1-a9a5-4d53-b15d-bd16fca4fd96"/>
    <ds:schemaRef ds:uri="cfb58fdf-baa4-49ab-9b9a-8c103073e122"/>
    <ds:schemaRef ds:uri="71e126cb-1963-4e7b-b13a-15d2f64f78e9"/>
    <ds:schemaRef ds:uri="f41f4605-e15c-4135-bd96-d3970596b173"/>
  </ds:schemaRefs>
</ds:datastoreItem>
</file>

<file path=customXml/itemProps3.xml><?xml version="1.0" encoding="utf-8"?>
<ds:datastoreItem xmlns:ds="http://schemas.openxmlformats.org/officeDocument/2006/customXml" ds:itemID="{4AD0DBB6-51A1-41E4-B899-7133D1D7DF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126cb-1963-4e7b-b13a-15d2f64f78e9"/>
    <ds:schemaRef ds:uri="f41f4605-e15c-4135-bd96-d3970596b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Laghi Davide (F4E)</cp:lastModifiedBy>
  <dcterms:created xsi:type="dcterms:W3CDTF">2021-01-04T09:04:40Z</dcterms:created>
  <dcterms:modified xsi:type="dcterms:W3CDTF">2025-05-23T13:02:08Z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