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examples/bolts/Configuration/M12/"/>
    </mc:Choice>
  </mc:AlternateContent>
  <xr:revisionPtr revIDLastSave="8" documentId="13_ncr:1_{9DA21BA7-49E1-4F9D-9DCE-DFFB8A81DAE4}" xr6:coauthVersionLast="47" xr6:coauthVersionMax="47" xr10:uidLastSave="{F68F80E4-3868-441D-B281-840D1A71969B}"/>
  <bookViews>
    <workbookView xWindow="-57720" yWindow="1725" windowWidth="29040" windowHeight="15840" activeTab="4" xr2:uid="{F09436F1-1F29-42A5-B1F9-53A78950820F}"/>
  </bookViews>
  <sheets>
    <sheet name="Bolt Data" sheetId="1" r:id="rId1"/>
    <sheet name="Insert Data" sheetId="8" r:id="rId2"/>
    <sheet name="REs Fatigue" sheetId="7" r:id="rId3"/>
    <sheet name="REs" sheetId="4" r:id="rId4"/>
    <sheet name="Additional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C6" i="8"/>
  <c r="C9" i="1"/>
  <c r="C6" i="1"/>
</calcChain>
</file>

<file path=xl/sharedStrings.xml><?xml version="1.0" encoding="utf-8"?>
<sst xmlns="http://schemas.openxmlformats.org/spreadsheetml/2006/main" count="196" uniqueCount="84">
  <si>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</si>
  <si>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</si>
  <si>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</si>
  <si>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</si>
  <si>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</si>
  <si>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</si>
  <si>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</si>
  <si>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</si>
  <si>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</si>
  <si>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</si>
  <si>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</si>
  <si>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</si>
  <si>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</si>
  <si>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</si>
  <si>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</si>
  <si>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</si>
  <si>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</si>
  <si>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</si>
  <si>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</si>
  <si>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</si>
  <si>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</si>
  <si>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</si>
  <si>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</si>
  <si>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</si>
  <si>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</si>
  <si>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</si>
  <si>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</si>
  <si>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</si>
  <si>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</si>
  <si>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</si>
  <si>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</si>
  <si>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</si>
  <si>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</si>
  <si>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</si>
  <si>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</si>
  <si>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</si>
  <si>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</si>
  <si>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</si>
  <si>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ID</t>
  </si>
  <si>
    <t>Operating Conditions</t>
  </si>
  <si>
    <t>Initiating Event</t>
  </si>
  <si>
    <t>Concatenated Event</t>
  </si>
  <si>
    <t>Load Category</t>
  </si>
  <si>
    <t>Service Level</t>
  </si>
  <si>
    <t>Material</t>
  </si>
  <si>
    <t>Material name</t>
  </si>
  <si>
    <t>SS660 (non leak-tight)</t>
  </si>
  <si>
    <t>Parameter</t>
  </si>
  <si>
    <t>Value</t>
  </si>
  <si>
    <t>T [°C]</t>
  </si>
  <si>
    <t>DPA</t>
  </si>
  <si>
    <t>Code</t>
  </si>
  <si>
    <t>Primary</t>
  </si>
  <si>
    <t>Preload [N]</t>
  </si>
  <si>
    <t>All</t>
  </si>
  <si>
    <t>Total number of cycles</t>
  </si>
  <si>
    <t>Delta sigma</t>
  </si>
  <si>
    <t>Sigma sustained</t>
  </si>
  <si>
    <t>A</t>
  </si>
  <si>
    <t>II</t>
  </si>
  <si>
    <t>NOS</t>
  </si>
  <si>
    <t>NOS-I.1</t>
  </si>
  <si>
    <t>fatigue stress coefficient (RB 3285.11)</t>
  </si>
  <si>
    <t>NOS-II.1</t>
  </si>
  <si>
    <t>SL1</t>
  </si>
  <si>
    <t>I</t>
  </si>
  <si>
    <t>NOS-III.1</t>
  </si>
  <si>
    <t>NOS-IV.1</t>
  </si>
  <si>
    <t>SMHV</t>
  </si>
  <si>
    <t>SL2</t>
  </si>
  <si>
    <t>III</t>
  </si>
  <si>
    <t>IV</t>
  </si>
  <si>
    <t>FIRE</t>
  </si>
  <si>
    <t>loads_1</t>
  </si>
  <si>
    <t>loads_2</t>
  </si>
  <si>
    <t>loads_3</t>
  </si>
  <si>
    <t>loads_4</t>
  </si>
  <si>
    <t>NOS-IV.3</t>
  </si>
  <si>
    <t>Lift</t>
  </si>
  <si>
    <t>Assembly</t>
  </si>
  <si>
    <t>loads_5</t>
  </si>
  <si>
    <t>NOS-III.2</t>
  </si>
  <si>
    <t>LOCA</t>
  </si>
  <si>
    <t>RCC-MRx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</si>
</sst>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/>
    <xf numFmtId="2" fontId="2" fillId="3" borderId="22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2" fontId="5" fillId="3" borderId="23" xfId="0" applyNumberFormat="1" applyFont="1" applyFill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510541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55301</xdr:colOff>
      <xdr:row>24</xdr:row>
      <xdr:rowOff>10773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F0CBB2-02C0-4036-8732-42BFA0AA8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2659" y="0"/>
          <a:ext cx="3777717" cy="458277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54654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0E37133-8CB9-4C80-9D40-25BA19FB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3033" y="4787660"/>
          <a:ext cx="3776696" cy="27327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23</xdr:col>
      <xdr:colOff>511986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683980E-58F5-48E0-B62A-BC5437EB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46006" y="5450205"/>
          <a:ext cx="9435005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243841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90188D4-A356-4D6B-950A-AD196393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476875"/>
          <a:ext cx="9035415" cy="6099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4"/>
  <sheetViews>
    <sheetView zoomScale="145" zoomScaleNormal="145" workbookViewId="0">
      <selection activeCell="B22" sqref="A1:XFD1048576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4" t="s">
        <v>0</v>
      </c>
      <c r="B1" s="45"/>
      <c r="C1" s="45"/>
      <c r="D1" s="46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3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0">
        <v>11.73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0">
        <f>C4</f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0">
        <v>12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1">
        <v>11.43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1">
        <f>C4+1</f>
        <v>13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0">
        <v>13.7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1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41">
        <v>6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41">
        <v>18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41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4" t="s">
        <v>33</v>
      </c>
      <c r="B15" s="25" t="s">
        <v>37</v>
      </c>
      <c r="C15" s="42">
        <v>0</v>
      </c>
      <c r="D15" s="23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6" t="s">
        <v>28</v>
      </c>
      <c r="B16" s="27" t="s">
        <v>62</v>
      </c>
      <c r="C16" s="16">
        <v>4</v>
      </c>
      <c r="D16" s="28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0.15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0.15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45</v>
      </c>
      <c r="C19" s="21" t="s">
        <v>46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22B0-ED6B-49AF-B1B2-2F7C5139E7C1}">
  <dimension ref="A1:K24"/>
  <sheetViews>
    <sheetView workbookViewId="0">
      <selection activeCell="C3" sqref="C3:C11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4" t="s">
        <v>0</v>
      </c>
      <c r="B1" s="45"/>
      <c r="C1" s="45"/>
      <c r="D1" s="46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3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0">
        <v>11.73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0">
        <f>C4</f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0">
        <v>12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1">
        <v>11.43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1">
        <f>C4+1</f>
        <v>13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0">
        <v>13.7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1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41"/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41"/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41"/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4" t="s">
        <v>33</v>
      </c>
      <c r="B15" s="25" t="s">
        <v>37</v>
      </c>
      <c r="C15" s="42"/>
      <c r="D15" s="23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6" t="s">
        <v>28</v>
      </c>
      <c r="B16" s="27" t="s">
        <v>62</v>
      </c>
      <c r="C16" s="16"/>
      <c r="D16" s="28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/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/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45</v>
      </c>
      <c r="C19" s="21" t="s">
        <v>46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037-154F-4296-A37B-CC0B905AD0A6}">
  <dimension ref="A1:K13"/>
  <sheetViews>
    <sheetView zoomScaleNormal="100" workbookViewId="0">
      <selection activeCell="I14" sqref="I14"/>
    </sheetView>
  </sheetViews>
  <sheetFormatPr defaultRowHeight="15" x14ac:dyDescent="0.25"/>
  <cols>
    <col min="1" max="1" width="15.85546875" customWidth="1"/>
    <col min="2" max="2" width="16.140625" customWidth="1"/>
    <col min="4" max="4" width="28.140625" customWidth="1"/>
    <col min="7" max="7" width="13" customWidth="1"/>
    <col min="8" max="8" width="15.7109375" customWidth="1"/>
    <col min="9" max="9" width="21.5703125" style="36" customWidth="1"/>
  </cols>
  <sheetData>
    <row r="1" spans="1:11" ht="30.75" thickBot="1" x14ac:dyDescent="0.3">
      <c r="A1" s="29" t="s">
        <v>38</v>
      </c>
      <c r="B1" s="30" t="s">
        <v>39</v>
      </c>
      <c r="C1" s="30" t="s">
        <v>40</v>
      </c>
      <c r="D1" s="30" t="s">
        <v>41</v>
      </c>
      <c r="E1" s="30" t="s">
        <v>49</v>
      </c>
      <c r="F1" s="30" t="s">
        <v>50</v>
      </c>
      <c r="G1" s="30" t="s">
        <v>55</v>
      </c>
      <c r="H1" s="30" t="s">
        <v>57</v>
      </c>
      <c r="I1" s="30" t="s">
        <v>56</v>
      </c>
      <c r="J1" s="30" t="s">
        <v>42</v>
      </c>
      <c r="K1" s="31" t="s">
        <v>43</v>
      </c>
    </row>
    <row r="13" spans="1:11" x14ac:dyDescent="0.25">
      <c r="D13" s="3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E14-AD48-41B3-9B7A-CD6A2E896A2E}">
  <dimension ref="A1:J8"/>
  <sheetViews>
    <sheetView zoomScale="115" zoomScaleNormal="115" workbookViewId="0">
      <selection activeCell="C6" sqref="C6"/>
    </sheetView>
  </sheetViews>
  <sheetFormatPr defaultRowHeight="15" x14ac:dyDescent="0.25"/>
  <cols>
    <col min="1" max="1" width="15.85546875" customWidth="1"/>
    <col min="2" max="2" width="16.140625" customWidth="1"/>
    <col min="3" max="3" width="27.140625" customWidth="1"/>
    <col min="4" max="4" width="18.28515625" customWidth="1"/>
    <col min="7" max="7" width="19.7109375" style="36" customWidth="1"/>
    <col min="8" max="8" width="17.28515625" style="36" bestFit="1" customWidth="1"/>
    <col min="9" max="9" width="8.85546875" customWidth="1"/>
  </cols>
  <sheetData>
    <row r="1" spans="1:10" ht="30.75" thickBot="1" x14ac:dyDescent="0.3">
      <c r="A1" s="29" t="s">
        <v>38</v>
      </c>
      <c r="B1" s="30" t="s">
        <v>39</v>
      </c>
      <c r="C1" s="30" t="s">
        <v>40</v>
      </c>
      <c r="D1" s="30" t="s">
        <v>41</v>
      </c>
      <c r="E1" s="30" t="s">
        <v>49</v>
      </c>
      <c r="F1" s="30" t="s">
        <v>50</v>
      </c>
      <c r="G1" s="30" t="s">
        <v>52</v>
      </c>
      <c r="H1" s="30" t="s">
        <v>54</v>
      </c>
      <c r="I1" s="30" t="s">
        <v>42</v>
      </c>
      <c r="J1" s="31" t="s">
        <v>43</v>
      </c>
    </row>
    <row r="2" spans="1:10" x14ac:dyDescent="0.25">
      <c r="A2" s="35" t="s">
        <v>61</v>
      </c>
      <c r="B2" s="35" t="s">
        <v>60</v>
      </c>
      <c r="C2" s="35" t="s">
        <v>29</v>
      </c>
      <c r="D2" s="35" t="s">
        <v>29</v>
      </c>
      <c r="E2" s="32">
        <v>35</v>
      </c>
      <c r="F2" s="32">
        <v>0</v>
      </c>
      <c r="G2" s="35" t="s">
        <v>73</v>
      </c>
      <c r="H2" s="35" t="s">
        <v>73</v>
      </c>
      <c r="I2" s="37" t="s">
        <v>65</v>
      </c>
      <c r="J2" s="37" t="s">
        <v>58</v>
      </c>
    </row>
    <row r="3" spans="1:10" x14ac:dyDescent="0.25">
      <c r="A3" s="35" t="s">
        <v>63</v>
      </c>
      <c r="B3" s="35" t="s">
        <v>60</v>
      </c>
      <c r="C3" t="s">
        <v>64</v>
      </c>
      <c r="D3" s="35" t="s">
        <v>29</v>
      </c>
      <c r="E3" s="32">
        <v>35</v>
      </c>
      <c r="F3" s="32">
        <v>0</v>
      </c>
      <c r="G3" s="35" t="s">
        <v>74</v>
      </c>
      <c r="H3" s="35" t="s">
        <v>74</v>
      </c>
      <c r="I3" s="35" t="s">
        <v>59</v>
      </c>
      <c r="J3" s="35" t="s">
        <v>58</v>
      </c>
    </row>
    <row r="4" spans="1:10" x14ac:dyDescent="0.25">
      <c r="A4" s="35" t="s">
        <v>66</v>
      </c>
      <c r="B4" s="35" t="s">
        <v>60</v>
      </c>
      <c r="C4" t="s">
        <v>68</v>
      </c>
      <c r="D4" s="35" t="s">
        <v>29</v>
      </c>
      <c r="E4" s="32">
        <v>35</v>
      </c>
      <c r="F4" s="32">
        <v>0</v>
      </c>
      <c r="G4" s="35" t="s">
        <v>75</v>
      </c>
      <c r="H4" s="35" t="s">
        <v>75</v>
      </c>
      <c r="I4" s="35" t="s">
        <v>70</v>
      </c>
      <c r="J4" s="35" t="s">
        <v>33</v>
      </c>
    </row>
    <row r="5" spans="1:10" x14ac:dyDescent="0.25">
      <c r="A5" s="35" t="s">
        <v>81</v>
      </c>
      <c r="B5" s="35" t="s">
        <v>60</v>
      </c>
      <c r="C5" s="35" t="s">
        <v>82</v>
      </c>
      <c r="D5" s="35" t="s">
        <v>29</v>
      </c>
      <c r="E5" s="32">
        <v>145</v>
      </c>
      <c r="F5" s="32">
        <v>0</v>
      </c>
      <c r="G5" s="35" t="s">
        <v>73</v>
      </c>
      <c r="H5" s="35" t="s">
        <v>73</v>
      </c>
      <c r="I5" s="35" t="s">
        <v>70</v>
      </c>
      <c r="J5" s="35" t="s">
        <v>33</v>
      </c>
    </row>
    <row r="6" spans="1:10" x14ac:dyDescent="0.25">
      <c r="A6" s="35" t="s">
        <v>67</v>
      </c>
      <c r="B6" s="35" t="s">
        <v>60</v>
      </c>
      <c r="C6" t="s">
        <v>69</v>
      </c>
      <c r="D6" s="35" t="s">
        <v>29</v>
      </c>
      <c r="E6" s="32">
        <v>35</v>
      </c>
      <c r="F6" s="32">
        <v>0</v>
      </c>
      <c r="G6" s="35" t="s">
        <v>76</v>
      </c>
      <c r="H6" s="35" t="s">
        <v>76</v>
      </c>
      <c r="I6" s="35" t="s">
        <v>71</v>
      </c>
      <c r="J6" s="35" t="s">
        <v>16</v>
      </c>
    </row>
    <row r="7" spans="1:10" x14ac:dyDescent="0.25">
      <c r="A7" s="35" t="s">
        <v>77</v>
      </c>
      <c r="B7" s="35" t="s">
        <v>60</v>
      </c>
      <c r="C7" t="s">
        <v>68</v>
      </c>
      <c r="D7" s="35" t="s">
        <v>72</v>
      </c>
      <c r="E7" s="32">
        <v>300</v>
      </c>
      <c r="F7" s="32">
        <v>0</v>
      </c>
      <c r="G7" s="35" t="s">
        <v>75</v>
      </c>
      <c r="H7" s="35" t="s">
        <v>75</v>
      </c>
      <c r="I7" s="35" t="s">
        <v>71</v>
      </c>
      <c r="J7" s="35" t="s">
        <v>16</v>
      </c>
    </row>
    <row r="8" spans="1:10" x14ac:dyDescent="0.25">
      <c r="A8" s="35" t="s">
        <v>78</v>
      </c>
      <c r="B8" s="35" t="s">
        <v>79</v>
      </c>
      <c r="C8" t="s">
        <v>29</v>
      </c>
      <c r="D8" s="35" t="s">
        <v>29</v>
      </c>
      <c r="E8" s="32">
        <v>35</v>
      </c>
      <c r="F8" s="32">
        <v>0</v>
      </c>
      <c r="G8" s="37" t="s">
        <v>80</v>
      </c>
      <c r="H8" s="37" t="s">
        <v>80</v>
      </c>
      <c r="I8" s="37" t="s">
        <v>65</v>
      </c>
      <c r="J8" s="37" t="s">
        <v>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9CEA-AFC2-4F18-A6C0-3570B994344C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2.5703125" style="33" customWidth="1"/>
    <col min="2" max="2" width="15.5703125" style="33" customWidth="1"/>
  </cols>
  <sheetData>
    <row r="1" spans="1:2" x14ac:dyDescent="0.25">
      <c r="A1" s="34" t="s">
        <v>47</v>
      </c>
      <c r="B1" s="34" t="s">
        <v>48</v>
      </c>
    </row>
    <row r="2" spans="1:2" x14ac:dyDescent="0.25">
      <c r="A2" s="33" t="s">
        <v>51</v>
      </c>
      <c r="B2" s="33" t="s">
        <v>83</v>
      </c>
    </row>
    <row r="3" spans="1:2" x14ac:dyDescent="0.25">
      <c r="A3" s="33" t="s">
        <v>53</v>
      </c>
      <c r="B3" s="43">
        <v>14200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Props1.xml><?xml version="1.0" encoding="utf-8"?>
<ds:datastoreItem xmlns:ds="http://schemas.openxmlformats.org/officeDocument/2006/customXml" ds:itemID="{4AD0DBB6-51A1-41E4-B899-7133D1D7DFCB}"/>
</file>

<file path=customXml/itemProps2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Bolt Data</vt:lpstr>
      <vt:lpstr>Insert Data</vt:lpstr>
      <vt:lpstr>REs Fatigue</vt:lpstr>
      <vt:lpstr>REs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2021-01-04T09:04:40Z</dcterms:created>
  <dcterms:modified xsi:type="dcterms:W3CDTF">2025-02-06T09:09:00Z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