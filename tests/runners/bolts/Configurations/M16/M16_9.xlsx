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ering-my.sharepoint.com/personal/d_falco_nier_it/Documents/Documenti/examples/bolts/Configuration/M16/"/>
    </mc:Choice>
  </mc:AlternateContent>
  <xr:revisionPtr revIDLastSave="21" documentId="13_ncr:1_{73897D7B-1DE4-4807-A6AD-F6F21C3CE7DA}" xr6:coauthVersionLast="47" xr6:coauthVersionMax="47" xr10:uidLastSave="{004E7BF7-3A55-4047-9FDC-3C08762DE86D}"/>
  <bookViews>
    <workbookView xWindow="-57720" yWindow="1725" windowWidth="29040" windowHeight="15840" activeTab="4" xr2:uid="{F09436F1-1F29-42A5-B1F9-53A78950820F}"/>
  </bookViews>
  <sheets>
    <sheet name="Bolt Data" sheetId="1" r:id="rId1"/>
    <sheet name="Insert Data" sheetId="3" r:id="rId2"/>
    <sheet name="REs Fatigue" sheetId="7" r:id="rId3"/>
    <sheet name="REs" sheetId="4" r:id="rId4"/>
    <sheet name="Additional 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6" i="3"/>
  <c r="C9" i="1"/>
  <c r="C6" i="1"/>
</calcChain>
</file>

<file path=xl/sharedStrings.xml><?xml version="1.0" encoding="utf-8"?>
<sst xmlns="http://schemas.openxmlformats.org/spreadsheetml/2006/main" count="196" uniqueCount="87">
  <si>
    <t>Dimensions of the bolts and assembled parts</t>
  </si>
  <si>
    <t>SYMBOL</t>
  </si>
  <si>
    <t>PARAMETER</t>
  </si>
  <si>
    <t>VALUE</t>
  </si>
  <si>
    <t>UNIT</t>
  </si>
  <si>
    <t>p</t>
  </si>
  <si>
    <t>threatd pitch</t>
  </si>
  <si>
    <t>[mm]</t>
  </si>
  <si>
    <t>d</t>
  </si>
  <si>
    <t>maximum diameter (nominale)</t>
  </si>
  <si>
    <r>
      <t>d</t>
    </r>
    <r>
      <rPr>
        <b/>
        <vertAlign val="subscript"/>
        <sz val="11"/>
        <rFont val="Arial"/>
        <family val="2"/>
      </rPr>
      <t>n</t>
    </r>
  </si>
  <si>
    <t>core diameter (minor)</t>
  </si>
  <si>
    <r>
      <t>d</t>
    </r>
    <r>
      <rPr>
        <b/>
        <vertAlign val="subscript"/>
        <sz val="11"/>
        <rFont val="Arial"/>
        <family val="2"/>
      </rPr>
      <t>1</t>
    </r>
  </si>
  <si>
    <t>diameter of smooth shank</t>
  </si>
  <si>
    <r>
      <t>d</t>
    </r>
    <r>
      <rPr>
        <b/>
        <vertAlign val="subscript"/>
        <sz val="11"/>
        <rFont val="Arial"/>
        <family val="2"/>
      </rPr>
      <t>f</t>
    </r>
  </si>
  <si>
    <t>pitch diameter (mean)</t>
  </si>
  <si>
    <t>D</t>
  </si>
  <si>
    <t>minor diameter of tapping</t>
  </si>
  <si>
    <r>
      <t>D</t>
    </r>
    <r>
      <rPr>
        <b/>
        <vertAlign val="subscript"/>
        <sz val="11"/>
        <rFont val="Arial"/>
        <family val="2"/>
      </rPr>
      <t>p</t>
    </r>
  </si>
  <si>
    <t>diameter of drilling circle</t>
  </si>
  <si>
    <r>
      <t>L</t>
    </r>
    <r>
      <rPr>
        <b/>
        <vertAlign val="subscript"/>
        <sz val="11"/>
        <rFont val="Arial"/>
        <family val="2"/>
      </rPr>
      <t>e</t>
    </r>
  </si>
  <si>
    <t>insertion length</t>
  </si>
  <si>
    <t>H</t>
  </si>
  <si>
    <t>height of head</t>
  </si>
  <si>
    <t>a</t>
  </si>
  <si>
    <t>diameter of head</t>
  </si>
  <si>
    <t>B</t>
  </si>
  <si>
    <t>inside diameter of washer</t>
  </si>
  <si>
    <r>
      <t>K</t>
    </r>
    <r>
      <rPr>
        <b/>
        <vertAlign val="subscript"/>
        <sz val="11"/>
        <color theme="1"/>
        <rFont val="Arial"/>
        <family val="2"/>
      </rPr>
      <t>F</t>
    </r>
  </si>
  <si>
    <t>-</t>
  </si>
  <si>
    <t>f</t>
  </si>
  <si>
    <t>friction coefficient between engaged threads</t>
  </si>
  <si>
    <t>friction coefficient under head</t>
  </si>
  <si>
    <t>C</t>
  </si>
  <si>
    <t>f_prime</t>
  </si>
  <si>
    <t>mean diameter under head</t>
  </si>
  <si>
    <r>
      <t>D</t>
    </r>
    <r>
      <rPr>
        <b/>
        <vertAlign val="subscript"/>
        <sz val="11"/>
        <rFont val="Arial"/>
        <family val="2"/>
      </rPr>
      <t>m</t>
    </r>
  </si>
  <si>
    <t>thickness of washer</t>
  </si>
  <si>
    <t>ID</t>
  </si>
  <si>
    <t>Operating Conditions</t>
  </si>
  <si>
    <t>Initiating Event</t>
  </si>
  <si>
    <t>Concatenated Event</t>
  </si>
  <si>
    <t>Load Category</t>
  </si>
  <si>
    <t>Service Level</t>
  </si>
  <si>
    <t>Material</t>
  </si>
  <si>
    <t>Material Name</t>
  </si>
  <si>
    <t>Material name</t>
  </si>
  <si>
    <t>SS660 (non leak-tight)</t>
  </si>
  <si>
    <t>Parameter</t>
  </si>
  <si>
    <t>Value</t>
  </si>
  <si>
    <t>T [°C]</t>
  </si>
  <si>
    <t>DPA</t>
  </si>
  <si>
    <t>Code</t>
  </si>
  <si>
    <t>Primary</t>
  </si>
  <si>
    <t>Preload [N]</t>
  </si>
  <si>
    <t>All</t>
  </si>
  <si>
    <t>Total number of cycles</t>
  </si>
  <si>
    <t>Delta sigma</t>
  </si>
  <si>
    <t>Sigma sustained</t>
  </si>
  <si>
    <t>A</t>
  </si>
  <si>
    <t>II</t>
  </si>
  <si>
    <t>NOS</t>
  </si>
  <si>
    <t>fatigue stress reduction factor ()</t>
  </si>
  <si>
    <t>fatigue stress coefficient (RB 3285.11)</t>
  </si>
  <si>
    <t>SS316L(N)-IG</t>
  </si>
  <si>
    <t>NOS-I.1</t>
  </si>
  <si>
    <t>I</t>
  </si>
  <si>
    <t>NOS-II.1</t>
  </si>
  <si>
    <t>SL1</t>
  </si>
  <si>
    <t>NOS-III.1</t>
  </si>
  <si>
    <t>SMHV</t>
  </si>
  <si>
    <t>III</t>
  </si>
  <si>
    <t>NOS-IV.1</t>
  </si>
  <si>
    <t>SL2</t>
  </si>
  <si>
    <t>IV</t>
  </si>
  <si>
    <t>FIRE</t>
  </si>
  <si>
    <t>loads_1</t>
  </si>
  <si>
    <t>loads_2</t>
  </si>
  <si>
    <t>loads_3</t>
  </si>
  <si>
    <t>loads_4</t>
  </si>
  <si>
    <t>NOS-IV.3</t>
  </si>
  <si>
    <t>Lift</t>
  </si>
  <si>
    <t>Assembly</t>
  </si>
  <si>
    <t>loads_5</t>
  </si>
  <si>
    <t>NOS-III.2</t>
  </si>
  <si>
    <t>LOCA</t>
  </si>
  <si>
    <t>RCC-MR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</si>
</sst>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bscript"/>
      <sz val="11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2" fillId="3" borderId="17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9" fillId="0" borderId="0" xfId="0" applyFont="1"/>
    <xf numFmtId="2" fontId="2" fillId="3" borderId="22" xfId="0" applyNumberFormat="1" applyFont="1" applyFill="1" applyBorder="1" applyAlignment="1">
      <alignment horizontal="center" vertical="center"/>
    </xf>
    <xf numFmtId="2" fontId="2" fillId="3" borderId="23" xfId="0" applyNumberFormat="1" applyFont="1" applyFill="1" applyBorder="1" applyAlignment="1">
      <alignment horizontal="center" vertical="center"/>
    </xf>
    <xf numFmtId="2" fontId="5" fillId="3" borderId="23" xfId="0" applyNumberFormat="1" applyFont="1" applyFill="1" applyBorder="1" applyAlignment="1">
      <alignment horizontal="center" vertical="center"/>
    </xf>
    <xf numFmtId="2" fontId="5" fillId="3" borderId="24" xfId="0" applyNumberFormat="1" applyFont="1" applyFill="1" applyBorder="1" applyAlignment="1">
      <alignment horizontal="center" vertical="center"/>
    </xf>
    <xf numFmtId="11" fontId="0" fillId="0" borderId="0" xfId="0" applyNumberFormat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106634</xdr:colOff>
      <xdr:row>0</xdr:row>
      <xdr:rowOff>0</xdr:rowOff>
    </xdr:from>
    <xdr:to>
      <xdr:col>9</xdr:col>
      <xdr:colOff>169601</xdr:colOff>
      <xdr:row>23</xdr:row>
      <xdr:rowOff>20298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AC73E18-F856-453E-8434-EF799C9B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354" y="0"/>
          <a:ext cx="3872967" cy="4190343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24</xdr:row>
      <xdr:rowOff>34685</xdr:rowOff>
    </xdr:from>
    <xdr:to>
      <xdr:col>9</xdr:col>
      <xdr:colOff>168954</xdr:colOff>
      <xdr:row>25</xdr:row>
      <xdr:rowOff>117461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CA4510C-788B-4412-B1AA-C9145D60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6748" y="4408565"/>
          <a:ext cx="3871946" cy="265656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678181</xdr:colOff>
      <xdr:row>27</xdr:row>
      <xdr:rowOff>125730</xdr:rowOff>
    </xdr:from>
    <xdr:to>
      <xdr:col>24</xdr:col>
      <xdr:colOff>207186</xdr:colOff>
      <xdr:row>59</xdr:row>
      <xdr:rowOff>152400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FE6A6FB-3189-4342-ADC7-6BB1E495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0681" y="5212080"/>
          <a:ext cx="9734090" cy="61226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152400</xdr:rowOff>
    </xdr:from>
    <xdr:to>
      <xdr:col>7</xdr:col>
      <xdr:colOff>510541</xdr:colOff>
      <xdr:row>59</xdr:row>
      <xdr:rowOff>156101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1A20FBB-4224-4C8A-A7E4-5F8255F18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238750"/>
          <a:ext cx="9258300" cy="60997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104729</xdr:colOff>
      <xdr:row>0</xdr:row>
      <xdr:rowOff>0</xdr:rowOff>
    </xdr:from>
    <xdr:to>
      <xdr:col>9</xdr:col>
      <xdr:colOff>173411</xdr:colOff>
      <xdr:row>23</xdr:row>
      <xdr:rowOff>16488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7566E9A-974D-4473-B29F-1CC30F484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8652" y="0"/>
          <a:ext cx="3878682" cy="4471257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24</xdr:row>
      <xdr:rowOff>34685</xdr:rowOff>
    </xdr:from>
    <xdr:to>
      <xdr:col>9</xdr:col>
      <xdr:colOff>168954</xdr:colOff>
      <xdr:row>25</xdr:row>
      <xdr:rowOff>117461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D94EBFC-28AB-4E38-860B-6D414D6CE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6748" y="4431425"/>
          <a:ext cx="3871946" cy="265656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678181</xdr:colOff>
      <xdr:row>27</xdr:row>
      <xdr:rowOff>125730</xdr:rowOff>
    </xdr:from>
    <xdr:to>
      <xdr:col>24</xdr:col>
      <xdr:colOff>207186</xdr:colOff>
      <xdr:row>59</xdr:row>
      <xdr:rowOff>152400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134DEDA9-682C-4999-BA2A-ACAFFC2DF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65921" y="5071110"/>
          <a:ext cx="9734090" cy="587883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152400</xdr:rowOff>
    </xdr:from>
    <xdr:to>
      <xdr:col>8</xdr:col>
      <xdr:colOff>53341</xdr:colOff>
      <xdr:row>59</xdr:row>
      <xdr:rowOff>156101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706DBA9F-24C3-4E11-9BE3-397674B05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097780"/>
          <a:ext cx="9273540" cy="58558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CF97-1329-4AF8-AE95-32CC01118615}">
  <dimension ref="A1:K24"/>
  <sheetViews>
    <sheetView zoomScale="145" zoomScaleNormal="145" workbookViewId="0">
      <selection activeCell="C12" sqref="C12"/>
    </sheetView>
  </sheetViews>
  <sheetFormatPr defaultColWidth="8.85546875" defaultRowHeight="15" x14ac:dyDescent="0.25"/>
  <cols>
    <col min="1" max="1" width="12.5703125" style="2" customWidth="1"/>
    <col min="2" max="2" width="44" style="2" customWidth="1"/>
    <col min="3" max="3" width="26.7109375" style="2" customWidth="1"/>
    <col min="4" max="11" width="11.140625" style="2" customWidth="1"/>
    <col min="12" max="16384" width="8.85546875" style="2"/>
  </cols>
  <sheetData>
    <row r="1" spans="1:11" ht="15.75" thickBot="1" x14ac:dyDescent="0.3">
      <c r="A1" s="45" t="s">
        <v>0</v>
      </c>
      <c r="B1" s="46"/>
      <c r="C1" s="46"/>
      <c r="D1" s="47"/>
      <c r="E1" s="1"/>
      <c r="F1" s="1"/>
      <c r="G1" s="1"/>
      <c r="H1" s="1"/>
      <c r="I1" s="1"/>
      <c r="J1" s="1"/>
      <c r="K1" s="1"/>
    </row>
    <row r="2" spans="1:11" ht="15.75" thickBot="1" x14ac:dyDescent="0.3">
      <c r="A2" s="10" t="s">
        <v>1</v>
      </c>
      <c r="B2" s="11" t="s">
        <v>2</v>
      </c>
      <c r="C2" s="12" t="s">
        <v>3</v>
      </c>
      <c r="D2" s="13" t="s">
        <v>4</v>
      </c>
      <c r="E2" s="1"/>
      <c r="F2" s="1"/>
      <c r="G2" s="1"/>
      <c r="H2" s="1"/>
      <c r="I2" s="1"/>
      <c r="J2" s="1"/>
      <c r="K2" s="1"/>
    </row>
    <row r="3" spans="1:11" x14ac:dyDescent="0.25">
      <c r="A3" s="14" t="s">
        <v>5</v>
      </c>
      <c r="B3" s="15" t="s">
        <v>6</v>
      </c>
      <c r="C3" s="40">
        <v>2</v>
      </c>
      <c r="D3" s="17" t="s">
        <v>7</v>
      </c>
      <c r="E3" s="1"/>
      <c r="F3" s="1"/>
      <c r="G3" s="1"/>
      <c r="H3" s="1"/>
      <c r="I3" s="1"/>
      <c r="J3" s="1"/>
      <c r="K3" s="1"/>
    </row>
    <row r="4" spans="1:11" x14ac:dyDescent="0.25">
      <c r="A4" s="3" t="s">
        <v>8</v>
      </c>
      <c r="B4" s="4" t="s">
        <v>9</v>
      </c>
      <c r="C4" s="41">
        <v>16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5" x14ac:dyDescent="0.25">
      <c r="A5" s="3" t="s">
        <v>10</v>
      </c>
      <c r="B5" s="4" t="s">
        <v>11</v>
      </c>
      <c r="C5" s="41">
        <v>13.834936490538905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5" x14ac:dyDescent="0.25">
      <c r="A6" s="3" t="s">
        <v>12</v>
      </c>
      <c r="B6" s="4" t="s">
        <v>13</v>
      </c>
      <c r="C6" s="41">
        <f>C4</f>
        <v>16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5" x14ac:dyDescent="0.25">
      <c r="A7" s="3" t="s">
        <v>14</v>
      </c>
      <c r="B7" s="4" t="s">
        <v>15</v>
      </c>
      <c r="C7" s="41">
        <v>16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x14ac:dyDescent="0.25">
      <c r="A8" s="3" t="s">
        <v>16</v>
      </c>
      <c r="B8" s="4" t="s">
        <v>17</v>
      </c>
      <c r="C8" s="42">
        <v>15.57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ht="16.5" x14ac:dyDescent="0.25">
      <c r="A9" s="3" t="s">
        <v>18</v>
      </c>
      <c r="B9" s="4" t="s">
        <v>19</v>
      </c>
      <c r="C9" s="42">
        <f>C4+1</f>
        <v>17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ht="16.5" x14ac:dyDescent="0.25">
      <c r="A10" s="3" t="s">
        <v>36</v>
      </c>
      <c r="B10" s="4" t="s">
        <v>35</v>
      </c>
      <c r="C10" s="41">
        <v>16</v>
      </c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5" x14ac:dyDescent="0.25">
      <c r="A11" s="3" t="s">
        <v>20</v>
      </c>
      <c r="B11" s="4" t="s">
        <v>21</v>
      </c>
      <c r="C11" s="42">
        <v>60</v>
      </c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25">
      <c r="A12" s="3" t="s">
        <v>22</v>
      </c>
      <c r="B12" s="6" t="s">
        <v>23</v>
      </c>
      <c r="C12" s="42">
        <v>16</v>
      </c>
      <c r="D12" s="5" t="s">
        <v>7</v>
      </c>
      <c r="E12" s="1"/>
      <c r="F12" s="1"/>
      <c r="G12" s="1"/>
      <c r="H12" s="1"/>
      <c r="I12" s="1"/>
      <c r="J12" s="1"/>
      <c r="K12" s="1"/>
    </row>
    <row r="13" spans="1:11" x14ac:dyDescent="0.25">
      <c r="A13" s="3" t="s">
        <v>24</v>
      </c>
      <c r="B13" s="6" t="s">
        <v>25</v>
      </c>
      <c r="C13" s="42">
        <v>24</v>
      </c>
      <c r="D13" s="5" t="s">
        <v>7</v>
      </c>
      <c r="E13" s="1"/>
      <c r="F13" s="1"/>
      <c r="G13" s="1"/>
      <c r="H13" s="1"/>
      <c r="I13" s="1"/>
      <c r="J13" s="1"/>
      <c r="K13" s="1"/>
    </row>
    <row r="14" spans="1:11" x14ac:dyDescent="0.25">
      <c r="A14" s="7" t="s">
        <v>26</v>
      </c>
      <c r="B14" s="8" t="s">
        <v>27</v>
      </c>
      <c r="C14" s="42">
        <v>0</v>
      </c>
      <c r="D14" s="9" t="s">
        <v>7</v>
      </c>
      <c r="E14" s="1"/>
      <c r="F14" s="1"/>
      <c r="G14" s="1"/>
      <c r="H14" s="1"/>
      <c r="I14" s="1"/>
      <c r="J14" s="1"/>
      <c r="K14" s="1"/>
    </row>
    <row r="15" spans="1:11" ht="15.75" thickBot="1" x14ac:dyDescent="0.3">
      <c r="A15" s="25" t="s">
        <v>33</v>
      </c>
      <c r="B15" s="26" t="s">
        <v>37</v>
      </c>
      <c r="C15" s="43">
        <v>0</v>
      </c>
      <c r="D15" s="24" t="s">
        <v>7</v>
      </c>
      <c r="E15" s="1"/>
      <c r="F15" s="1"/>
      <c r="G15" s="1"/>
      <c r="H15" s="1"/>
      <c r="I15" s="1"/>
      <c r="J15" s="1"/>
      <c r="K15" s="1"/>
    </row>
    <row r="16" spans="1:11" ht="16.5" x14ac:dyDescent="0.25">
      <c r="A16" s="27" t="s">
        <v>28</v>
      </c>
      <c r="B16" s="28" t="s">
        <v>63</v>
      </c>
      <c r="C16" s="16">
        <v>4</v>
      </c>
      <c r="D16" s="29" t="s">
        <v>29</v>
      </c>
      <c r="E16" s="1"/>
      <c r="F16" s="1"/>
      <c r="G16" s="1"/>
      <c r="H16" s="1"/>
      <c r="I16" s="1"/>
      <c r="J16" s="1"/>
      <c r="K16" s="1"/>
    </row>
    <row r="17" spans="1:11" x14ac:dyDescent="0.25">
      <c r="A17" s="3" t="s">
        <v>30</v>
      </c>
      <c r="B17" s="6" t="s">
        <v>31</v>
      </c>
      <c r="C17" s="18">
        <v>0.15</v>
      </c>
      <c r="D17" s="5" t="s">
        <v>29</v>
      </c>
      <c r="E17" s="1"/>
      <c r="F17" s="1"/>
      <c r="G17" s="1"/>
      <c r="H17" s="1"/>
      <c r="I17" s="1"/>
      <c r="J17" s="1"/>
      <c r="K17" s="1"/>
    </row>
    <row r="18" spans="1:11" ht="15.75" thickBot="1" x14ac:dyDescent="0.3">
      <c r="A18" s="19" t="s">
        <v>34</v>
      </c>
      <c r="B18" s="20" t="s">
        <v>32</v>
      </c>
      <c r="C18" s="21">
        <v>0.15</v>
      </c>
      <c r="D18" s="22" t="s">
        <v>29</v>
      </c>
      <c r="E18" s="1"/>
      <c r="F18" s="1"/>
      <c r="G18" s="1"/>
      <c r="H18" s="1"/>
      <c r="I18" s="1"/>
      <c r="J18" s="1"/>
      <c r="K18" s="1"/>
    </row>
    <row r="19" spans="1:11" ht="15.75" thickBot="1" x14ac:dyDescent="0.3">
      <c r="A19" s="19" t="s">
        <v>44</v>
      </c>
      <c r="B19" s="20" t="s">
        <v>46</v>
      </c>
      <c r="C19" s="21" t="s">
        <v>47</v>
      </c>
      <c r="D19" s="22" t="s">
        <v>29</v>
      </c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7F7E-1016-4F60-9E91-396D660791FF}">
  <dimension ref="A1:K24"/>
  <sheetViews>
    <sheetView zoomScale="130" zoomScaleNormal="130" workbookViewId="0">
      <selection activeCell="C12" sqref="C12"/>
    </sheetView>
  </sheetViews>
  <sheetFormatPr defaultColWidth="8.85546875" defaultRowHeight="15" x14ac:dyDescent="0.25"/>
  <cols>
    <col min="1" max="1" width="12.5703125" style="2" customWidth="1"/>
    <col min="2" max="2" width="44" style="2" customWidth="1"/>
    <col min="3" max="3" width="22.42578125" style="2" customWidth="1"/>
    <col min="4" max="11" width="11.140625" style="2" customWidth="1"/>
    <col min="12" max="16384" width="8.85546875" style="2"/>
  </cols>
  <sheetData>
    <row r="1" spans="1:11" ht="15.75" thickBot="1" x14ac:dyDescent="0.3">
      <c r="A1" s="45" t="s">
        <v>0</v>
      </c>
      <c r="B1" s="46"/>
      <c r="C1" s="46"/>
      <c r="D1" s="47"/>
      <c r="E1" s="1"/>
      <c r="F1" s="1"/>
      <c r="G1" s="1"/>
      <c r="H1" s="1"/>
      <c r="I1" s="1"/>
      <c r="J1" s="1"/>
      <c r="K1" s="1"/>
    </row>
    <row r="2" spans="1:11" ht="15.75" thickBot="1" x14ac:dyDescent="0.3">
      <c r="A2" s="10" t="s">
        <v>1</v>
      </c>
      <c r="B2" s="11" t="s">
        <v>2</v>
      </c>
      <c r="C2" s="12" t="s">
        <v>3</v>
      </c>
      <c r="D2" s="13" t="s">
        <v>4</v>
      </c>
      <c r="E2" s="1"/>
      <c r="F2" s="1"/>
      <c r="G2" s="1"/>
      <c r="H2" s="1"/>
      <c r="I2" s="1"/>
      <c r="J2" s="1"/>
      <c r="K2" s="1"/>
    </row>
    <row r="3" spans="1:11" x14ac:dyDescent="0.25">
      <c r="A3" s="14" t="s">
        <v>5</v>
      </c>
      <c r="B3" s="15" t="s">
        <v>6</v>
      </c>
      <c r="C3" s="40">
        <v>2</v>
      </c>
      <c r="D3" s="17" t="s">
        <v>7</v>
      </c>
      <c r="E3" s="1"/>
      <c r="F3" s="1"/>
      <c r="G3" s="1"/>
      <c r="H3" s="1"/>
      <c r="I3" s="1"/>
      <c r="J3" s="1"/>
      <c r="K3" s="1"/>
    </row>
    <row r="4" spans="1:11" x14ac:dyDescent="0.25">
      <c r="A4" s="3" t="s">
        <v>8</v>
      </c>
      <c r="B4" s="4" t="s">
        <v>9</v>
      </c>
      <c r="C4" s="41">
        <v>16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5" x14ac:dyDescent="0.25">
      <c r="A5" s="3" t="s">
        <v>10</v>
      </c>
      <c r="B5" s="4" t="s">
        <v>11</v>
      </c>
      <c r="C5" s="41">
        <v>13.834936490538905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5" x14ac:dyDescent="0.25">
      <c r="A6" s="3" t="s">
        <v>12</v>
      </c>
      <c r="B6" s="4" t="s">
        <v>13</v>
      </c>
      <c r="C6" s="41">
        <f>C4</f>
        <v>16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5" x14ac:dyDescent="0.25">
      <c r="A7" s="3" t="s">
        <v>14</v>
      </c>
      <c r="B7" s="4" t="s">
        <v>15</v>
      </c>
      <c r="C7" s="41">
        <v>16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x14ac:dyDescent="0.25">
      <c r="A8" s="3" t="s">
        <v>16</v>
      </c>
      <c r="B8" s="4" t="s">
        <v>17</v>
      </c>
      <c r="C8" s="42">
        <v>15.57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ht="16.5" x14ac:dyDescent="0.25">
      <c r="A9" s="3" t="s">
        <v>18</v>
      </c>
      <c r="B9" s="4" t="s">
        <v>19</v>
      </c>
      <c r="C9" s="42">
        <f>C4+1</f>
        <v>17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ht="16.5" x14ac:dyDescent="0.25">
      <c r="A10" s="3" t="s">
        <v>36</v>
      </c>
      <c r="B10" s="4" t="s">
        <v>35</v>
      </c>
      <c r="C10" s="41">
        <v>16</v>
      </c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5" x14ac:dyDescent="0.25">
      <c r="A11" s="3" t="s">
        <v>20</v>
      </c>
      <c r="B11" s="4" t="s">
        <v>21</v>
      </c>
      <c r="C11" s="42">
        <v>60</v>
      </c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25">
      <c r="A12" s="3" t="s">
        <v>22</v>
      </c>
      <c r="B12" s="6" t="s">
        <v>23</v>
      </c>
      <c r="C12" s="23">
        <v>0</v>
      </c>
      <c r="D12" s="5" t="s">
        <v>7</v>
      </c>
      <c r="E12" s="1"/>
      <c r="F12" s="1"/>
      <c r="G12" s="1"/>
      <c r="H12" s="1"/>
      <c r="I12" s="1"/>
      <c r="J12" s="1"/>
      <c r="K12" s="1"/>
    </row>
    <row r="13" spans="1:11" x14ac:dyDescent="0.25">
      <c r="A13" s="3" t="s">
        <v>24</v>
      </c>
      <c r="B13" s="6" t="s">
        <v>25</v>
      </c>
      <c r="C13" s="23">
        <v>0</v>
      </c>
      <c r="D13" s="5" t="s">
        <v>7</v>
      </c>
      <c r="E13" s="1"/>
      <c r="F13" s="1"/>
      <c r="G13" s="1"/>
      <c r="H13" s="1"/>
      <c r="I13" s="1"/>
      <c r="J13" s="1"/>
      <c r="K13" s="1"/>
    </row>
    <row r="14" spans="1:11" x14ac:dyDescent="0.25">
      <c r="A14" s="7" t="s">
        <v>26</v>
      </c>
      <c r="B14" s="8" t="s">
        <v>27</v>
      </c>
      <c r="C14" s="23">
        <v>0</v>
      </c>
      <c r="D14" s="9" t="s">
        <v>7</v>
      </c>
      <c r="E14" s="1"/>
      <c r="F14" s="1"/>
      <c r="G14" s="1"/>
      <c r="H14" s="1"/>
      <c r="I14" s="1"/>
      <c r="J14" s="1"/>
      <c r="K14" s="1"/>
    </row>
    <row r="15" spans="1:11" ht="15.75" thickBot="1" x14ac:dyDescent="0.3">
      <c r="A15" s="25" t="s">
        <v>33</v>
      </c>
      <c r="B15" s="26" t="s">
        <v>37</v>
      </c>
      <c r="C15" s="23">
        <v>0</v>
      </c>
      <c r="D15" s="24" t="s">
        <v>7</v>
      </c>
      <c r="E15" s="1"/>
      <c r="F15" s="1"/>
      <c r="G15" s="1"/>
      <c r="H15" s="1"/>
      <c r="I15" s="1"/>
      <c r="J15" s="1"/>
      <c r="K15" s="1"/>
    </row>
    <row r="16" spans="1:11" ht="16.5" x14ac:dyDescent="0.25">
      <c r="A16" s="27" t="s">
        <v>28</v>
      </c>
      <c r="B16" s="28" t="s">
        <v>62</v>
      </c>
      <c r="C16" s="16">
        <v>0</v>
      </c>
      <c r="D16" s="29" t="s">
        <v>29</v>
      </c>
      <c r="E16" s="1"/>
      <c r="F16" s="1"/>
      <c r="G16" s="1"/>
      <c r="H16" s="1"/>
      <c r="I16" s="1"/>
      <c r="J16" s="1"/>
      <c r="K16" s="1"/>
    </row>
    <row r="17" spans="1:11" x14ac:dyDescent="0.25">
      <c r="A17" s="3" t="s">
        <v>30</v>
      </c>
      <c r="B17" s="6" t="s">
        <v>31</v>
      </c>
      <c r="C17" s="18">
        <v>0</v>
      </c>
      <c r="D17" s="5" t="s">
        <v>29</v>
      </c>
      <c r="E17" s="1"/>
      <c r="F17" s="1"/>
      <c r="G17" s="1"/>
      <c r="H17" s="1"/>
      <c r="I17" s="1"/>
      <c r="J17" s="1"/>
      <c r="K17" s="1"/>
    </row>
    <row r="18" spans="1:11" ht="15.75" thickBot="1" x14ac:dyDescent="0.3">
      <c r="A18" s="19" t="s">
        <v>34</v>
      </c>
      <c r="B18" s="20" t="s">
        <v>32</v>
      </c>
      <c r="C18" s="21">
        <v>0</v>
      </c>
      <c r="D18" s="22" t="s">
        <v>29</v>
      </c>
      <c r="E18" s="1"/>
      <c r="F18" s="1"/>
      <c r="G18" s="1"/>
      <c r="H18" s="1"/>
      <c r="I18" s="1"/>
      <c r="J18" s="1"/>
      <c r="K18" s="1"/>
    </row>
    <row r="19" spans="1:11" ht="15.75" thickBot="1" x14ac:dyDescent="0.3">
      <c r="A19" s="19" t="s">
        <v>44</v>
      </c>
      <c r="B19" s="20" t="s">
        <v>45</v>
      </c>
      <c r="C19" s="21" t="s">
        <v>64</v>
      </c>
      <c r="D19" s="22" t="s">
        <v>29</v>
      </c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4037-154F-4296-A37B-CC0B905AD0A6}">
  <dimension ref="A1:K13"/>
  <sheetViews>
    <sheetView zoomScaleNormal="100" workbookViewId="0">
      <selection activeCell="A5" sqref="A2:XFD5"/>
    </sheetView>
  </sheetViews>
  <sheetFormatPr defaultRowHeight="15" x14ac:dyDescent="0.25"/>
  <cols>
    <col min="1" max="1" width="15.85546875" customWidth="1"/>
    <col min="2" max="2" width="16.140625" customWidth="1"/>
    <col min="4" max="4" width="28.140625" customWidth="1"/>
    <col min="7" max="7" width="13" customWidth="1"/>
    <col min="8" max="8" width="15.7109375" customWidth="1"/>
    <col min="9" max="9" width="21.5703125" style="37" customWidth="1"/>
  </cols>
  <sheetData>
    <row r="1" spans="1:11" ht="30.75" thickBot="1" x14ac:dyDescent="0.3">
      <c r="A1" s="30" t="s">
        <v>38</v>
      </c>
      <c r="B1" s="31" t="s">
        <v>39</v>
      </c>
      <c r="C1" s="31" t="s">
        <v>40</v>
      </c>
      <c r="D1" s="31" t="s">
        <v>41</v>
      </c>
      <c r="E1" s="31" t="s">
        <v>50</v>
      </c>
      <c r="F1" s="31" t="s">
        <v>51</v>
      </c>
      <c r="G1" s="31" t="s">
        <v>56</v>
      </c>
      <c r="H1" s="31" t="s">
        <v>58</v>
      </c>
      <c r="I1" s="31" t="s">
        <v>57</v>
      </c>
      <c r="J1" s="31" t="s">
        <v>42</v>
      </c>
      <c r="K1" s="32" t="s">
        <v>43</v>
      </c>
    </row>
    <row r="13" spans="1:11" x14ac:dyDescent="0.25">
      <c r="D13" s="39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7E14-AD48-41B3-9B7A-CD6A2E896A2E}">
  <dimension ref="A1:J8"/>
  <sheetViews>
    <sheetView zoomScale="130" zoomScaleNormal="130" workbookViewId="0">
      <selection activeCell="E6" sqref="E6"/>
    </sheetView>
  </sheetViews>
  <sheetFormatPr defaultRowHeight="15" x14ac:dyDescent="0.25"/>
  <cols>
    <col min="1" max="1" width="15.85546875" customWidth="1"/>
    <col min="2" max="2" width="16.140625" customWidth="1"/>
    <col min="3" max="3" width="27.140625" customWidth="1"/>
    <col min="4" max="4" width="18.28515625" customWidth="1"/>
    <col min="7" max="7" width="19.7109375" style="37" customWidth="1"/>
    <col min="8" max="8" width="16.28515625" style="37" customWidth="1"/>
    <col min="9" max="9" width="8.85546875" customWidth="1"/>
  </cols>
  <sheetData>
    <row r="1" spans="1:10" ht="30.75" thickBot="1" x14ac:dyDescent="0.3">
      <c r="A1" s="30" t="s">
        <v>38</v>
      </c>
      <c r="B1" s="31" t="s">
        <v>39</v>
      </c>
      <c r="C1" s="31" t="s">
        <v>40</v>
      </c>
      <c r="D1" s="31" t="s">
        <v>41</v>
      </c>
      <c r="E1" s="31" t="s">
        <v>50</v>
      </c>
      <c r="F1" s="31" t="s">
        <v>51</v>
      </c>
      <c r="G1" s="31" t="s">
        <v>53</v>
      </c>
      <c r="H1" s="31" t="s">
        <v>55</v>
      </c>
      <c r="I1" s="31" t="s">
        <v>42</v>
      </c>
      <c r="J1" s="32" t="s">
        <v>43</v>
      </c>
    </row>
    <row r="2" spans="1:10" x14ac:dyDescent="0.25">
      <c r="A2" s="36" t="s">
        <v>65</v>
      </c>
      <c r="B2" s="36" t="s">
        <v>61</v>
      </c>
      <c r="C2" s="36" t="s">
        <v>29</v>
      </c>
      <c r="D2" s="36" t="s">
        <v>29</v>
      </c>
      <c r="E2" s="33">
        <v>35</v>
      </c>
      <c r="F2" s="33">
        <v>0</v>
      </c>
      <c r="G2" s="36" t="s">
        <v>76</v>
      </c>
      <c r="H2" s="36" t="s">
        <v>76</v>
      </c>
      <c r="I2" s="38" t="s">
        <v>66</v>
      </c>
      <c r="J2" s="38" t="s">
        <v>59</v>
      </c>
    </row>
    <row r="3" spans="1:10" x14ac:dyDescent="0.25">
      <c r="A3" s="36" t="s">
        <v>67</v>
      </c>
      <c r="B3" s="36" t="s">
        <v>61</v>
      </c>
      <c r="C3" t="s">
        <v>68</v>
      </c>
      <c r="D3" s="36" t="s">
        <v>29</v>
      </c>
      <c r="E3" s="33">
        <v>35</v>
      </c>
      <c r="F3" s="33">
        <v>0</v>
      </c>
      <c r="G3" s="36" t="s">
        <v>77</v>
      </c>
      <c r="H3" s="36" t="s">
        <v>77</v>
      </c>
      <c r="I3" s="36" t="s">
        <v>60</v>
      </c>
      <c r="J3" s="36" t="s">
        <v>59</v>
      </c>
    </row>
    <row r="4" spans="1:10" x14ac:dyDescent="0.25">
      <c r="A4" s="36" t="s">
        <v>69</v>
      </c>
      <c r="B4" s="36" t="s">
        <v>61</v>
      </c>
      <c r="C4" t="s">
        <v>70</v>
      </c>
      <c r="D4" s="36" t="s">
        <v>29</v>
      </c>
      <c r="E4" s="33">
        <v>35</v>
      </c>
      <c r="F4" s="33">
        <v>0</v>
      </c>
      <c r="G4" s="36" t="s">
        <v>78</v>
      </c>
      <c r="H4" s="36" t="s">
        <v>78</v>
      </c>
      <c r="I4" s="36" t="s">
        <v>71</v>
      </c>
      <c r="J4" s="36" t="s">
        <v>33</v>
      </c>
    </row>
    <row r="5" spans="1:10" x14ac:dyDescent="0.25">
      <c r="A5" s="36" t="s">
        <v>84</v>
      </c>
      <c r="B5" s="36" t="s">
        <v>61</v>
      </c>
      <c r="C5" s="36" t="s">
        <v>85</v>
      </c>
      <c r="D5" s="36" t="s">
        <v>29</v>
      </c>
      <c r="E5" s="33">
        <v>145</v>
      </c>
      <c r="F5" s="33">
        <v>0</v>
      </c>
      <c r="G5" s="36" t="s">
        <v>76</v>
      </c>
      <c r="H5" s="36" t="s">
        <v>76</v>
      </c>
      <c r="I5" s="36" t="s">
        <v>71</v>
      </c>
      <c r="J5" s="36" t="s">
        <v>33</v>
      </c>
    </row>
    <row r="6" spans="1:10" x14ac:dyDescent="0.25">
      <c r="A6" s="36" t="s">
        <v>72</v>
      </c>
      <c r="B6" s="36" t="s">
        <v>61</v>
      </c>
      <c r="C6" t="s">
        <v>73</v>
      </c>
      <c r="D6" s="36" t="s">
        <v>29</v>
      </c>
      <c r="E6" s="33">
        <v>35</v>
      </c>
      <c r="F6" s="33">
        <v>0</v>
      </c>
      <c r="G6" s="36" t="s">
        <v>79</v>
      </c>
      <c r="H6" s="36" t="s">
        <v>79</v>
      </c>
      <c r="I6" s="36" t="s">
        <v>74</v>
      </c>
      <c r="J6" s="36" t="s">
        <v>16</v>
      </c>
    </row>
    <row r="7" spans="1:10" x14ac:dyDescent="0.25">
      <c r="A7" s="36" t="s">
        <v>80</v>
      </c>
      <c r="B7" s="36" t="s">
        <v>61</v>
      </c>
      <c r="C7" t="s">
        <v>70</v>
      </c>
      <c r="D7" s="36" t="s">
        <v>75</v>
      </c>
      <c r="E7" s="33">
        <v>300</v>
      </c>
      <c r="F7" s="33">
        <v>0</v>
      </c>
      <c r="G7" s="36" t="s">
        <v>78</v>
      </c>
      <c r="H7" s="36" t="s">
        <v>78</v>
      </c>
      <c r="I7" s="36" t="s">
        <v>74</v>
      </c>
      <c r="J7" s="36" t="s">
        <v>16</v>
      </c>
    </row>
    <row r="8" spans="1:10" x14ac:dyDescent="0.25">
      <c r="A8" s="36" t="s">
        <v>81</v>
      </c>
      <c r="B8" s="36" t="s">
        <v>82</v>
      </c>
      <c r="C8" t="s">
        <v>29</v>
      </c>
      <c r="D8" s="36" t="s">
        <v>29</v>
      </c>
      <c r="E8" s="33">
        <v>35</v>
      </c>
      <c r="F8" s="33">
        <v>0</v>
      </c>
      <c r="G8" s="38" t="s">
        <v>83</v>
      </c>
      <c r="H8" s="38" t="s">
        <v>83</v>
      </c>
      <c r="I8" s="38" t="s">
        <v>66</v>
      </c>
      <c r="J8" s="38" t="s">
        <v>59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9CEA-AFC2-4F18-A6C0-3570B994344C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2.5703125" style="34" customWidth="1"/>
    <col min="2" max="2" width="15.5703125" style="34" customWidth="1"/>
  </cols>
  <sheetData>
    <row r="1" spans="1:2" x14ac:dyDescent="0.25">
      <c r="A1" s="35" t="s">
        <v>48</v>
      </c>
      <c r="B1" s="35" t="s">
        <v>49</v>
      </c>
    </row>
    <row r="2" spans="1:2" x14ac:dyDescent="0.25">
      <c r="A2" s="34" t="s">
        <v>52</v>
      </c>
      <c r="B2" s="34" t="s">
        <v>86</v>
      </c>
    </row>
    <row r="3" spans="1:2" x14ac:dyDescent="0.25">
      <c r="A3" s="34" t="s">
        <v>54</v>
      </c>
      <c r="B3" s="44">
        <v>25200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126cb-1963-4e7b-b13a-15d2f64f78e9">
      <Terms xmlns="http://schemas.microsoft.com/office/infopath/2007/PartnerControls"/>
    </lcf76f155ced4ddcb4097134ff3c332f>
    <TaxCatchAll xmlns="f41f4605-e15c-4135-bd96-d3970596b1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1AE687-2A97-4BF6-951C-F8F69669826E}"/>
</file>

<file path=customXml/itemProps2.xml><?xml version="1.0" encoding="utf-8"?>
<ds:datastoreItem xmlns:ds="http://schemas.openxmlformats.org/officeDocument/2006/customXml" ds:itemID="{B53875E3-DFDB-4F02-8AAC-AEAA1E089733}">
  <ds:schemaRefs>
    <ds:schemaRef ds:uri="http://schemas.microsoft.com/office/2006/metadata/properties"/>
    <ds:schemaRef ds:uri="http://schemas.microsoft.com/office/infopath/2007/PartnerControls"/>
    <ds:schemaRef ds:uri="bf2f5ce1-a9a5-4d53-b15d-bd16fca4fd96"/>
    <ds:schemaRef ds:uri="cfb58fdf-baa4-49ab-9b9a-8c103073e122"/>
  </ds:schemaRefs>
</ds:datastoreItem>
</file>

<file path=customXml/itemProps3.xml><?xml version="1.0" encoding="utf-8"?>
<ds:datastoreItem xmlns:ds="http://schemas.openxmlformats.org/officeDocument/2006/customXml" ds:itemID="{7F460EF5-1FE2-485A-B28D-6307C5242F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Bolt Data</vt:lpstr>
      <vt:lpstr>Insert Data</vt:lpstr>
      <vt:lpstr>REs Fatigue</vt:lpstr>
      <vt:lpstr>REs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Davide Falco</cp:lastModifiedBy>
  <dcterms:created xsi:type="dcterms:W3CDTF">2021-01-04T09:04:40Z</dcterms:created>
  <dcterms:modified xsi:type="dcterms:W3CDTF">2025-02-05T15:57:20Z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