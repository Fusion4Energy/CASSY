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ering-my.sharepoint.com/personal/d_falco_nier_it/Documents/Documenti/GitHub/KAISER/src/kaiser/additional_data/materials/"/>
    </mc:Choice>
  </mc:AlternateContent>
  <xr:revisionPtr revIDLastSave="32" documentId="13_ncr:1_{51993E30-0DAF-42B9-90AE-942011421B79}" xr6:coauthVersionLast="47" xr6:coauthVersionMax="47" xr10:uidLastSave="{4A6A79B9-9B11-436A-8C6F-5C50EE5CFBE6}"/>
  <bookViews>
    <workbookView xWindow="-28920" yWindow="-120" windowWidth="29040" windowHeight="15840" tabRatio="822" activeTab="1" xr2:uid="{00000000-000D-0000-FFFF-FFFF00000000}"/>
  </bookViews>
  <sheets>
    <sheet name="Young Modulus" sheetId="1" r:id="rId1"/>
    <sheet name="Fatigue Curves" sheetId="2" r:id="rId2"/>
    <sheet name="Sm" sheetId="7" r:id="rId3"/>
    <sheet name="Monotonic stress-strain" sheetId="15" r:id="rId4"/>
    <sheet name="Keff_rec" sheetId="8" r:id="rId5"/>
    <sheet name="Sd_nopeak" sheetId="13" r:id="rId6"/>
    <sheet name="Sy_min" sheetId="9" r:id="rId7"/>
    <sheet name="Sy_moy" sheetId="14" r:id="rId8"/>
    <sheet name="Su_min" sheetId="10" r:id="rId9"/>
    <sheet name="Sd" sheetId="11" r:id="rId10"/>
    <sheet name="Se" sheetId="12" r:id="rId11"/>
    <sheet name="Keps" sheetId="3" r:id="rId12"/>
    <sheet name="K-m" sheetId="5" r:id="rId13"/>
    <sheet name="Kmu" sheetId="4" r:id="rId14"/>
    <sheet name="Nu" sheetId="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" i="15" l="1"/>
  <c r="R4" i="15"/>
  <c r="T4" i="15"/>
  <c r="U4" i="15"/>
  <c r="P4" i="15"/>
  <c r="P5" i="15"/>
  <c r="P6" i="15"/>
  <c r="Q3" i="15"/>
  <c r="R3" i="15"/>
  <c r="S3" i="15"/>
  <c r="T3" i="15"/>
  <c r="U3" i="15"/>
  <c r="P3" i="15"/>
  <c r="D7" i="15"/>
  <c r="T2" i="15"/>
  <c r="V5" i="15" s="1"/>
  <c r="S2" i="15"/>
  <c r="X6" i="15" s="1"/>
  <c r="R2" i="15"/>
  <c r="Q2" i="15"/>
  <c r="X7" i="15" s="1"/>
  <c r="P2" i="15"/>
  <c r="V8" i="15" s="1"/>
  <c r="L3" i="15"/>
  <c r="V3" i="15" s="1"/>
  <c r="C8" i="15"/>
  <c r="E8" i="15"/>
  <c r="D8" i="15"/>
  <c r="F7" i="15"/>
  <c r="P7" i="15" s="1"/>
  <c r="E7" i="15"/>
  <c r="E6" i="15"/>
  <c r="F6" i="15"/>
  <c r="G6" i="15"/>
  <c r="Q6" i="15" s="1"/>
  <c r="H6" i="15"/>
  <c r="R6" i="15" s="1"/>
  <c r="F5" i="15"/>
  <c r="G5" i="15"/>
  <c r="Q5" i="15" s="1"/>
  <c r="H5" i="15"/>
  <c r="R5" i="15" s="1"/>
  <c r="I5" i="15"/>
  <c r="S5" i="15" s="1"/>
  <c r="J4" i="15"/>
  <c r="K4" i="15"/>
  <c r="I4" i="15"/>
  <c r="S4" i="15" s="1"/>
  <c r="Y4" i="15"/>
  <c r="Z4" i="15"/>
  <c r="AA4" i="15"/>
  <c r="W4" i="15"/>
  <c r="X3" i="15"/>
  <c r="X4" i="15"/>
  <c r="Y3" i="15"/>
  <c r="Z3" i="15"/>
  <c r="AA3" i="15"/>
  <c r="AB3" i="15"/>
  <c r="C16" i="7"/>
  <c r="U8" i="15" l="1"/>
  <c r="R8" i="15"/>
  <c r="W8" i="15"/>
  <c r="T8" i="15"/>
  <c r="U5" i="15"/>
  <c r="W5" i="15"/>
  <c r="Z5" i="15"/>
  <c r="Y5" i="15"/>
  <c r="X5" i="15"/>
  <c r="W6" i="15"/>
  <c r="S8" i="15"/>
  <c r="Y6" i="15"/>
  <c r="V6" i="15"/>
  <c r="U6" i="15"/>
  <c r="T6" i="15"/>
  <c r="Q8" i="15"/>
  <c r="W7" i="15"/>
  <c r="V7" i="15"/>
  <c r="U7" i="15"/>
  <c r="T7" i="15"/>
  <c r="S7" i="15"/>
  <c r="R7" i="15"/>
</calcChain>
</file>

<file path=xl/sharedStrings.xml><?xml version="1.0" encoding="utf-8"?>
<sst xmlns="http://schemas.openxmlformats.org/spreadsheetml/2006/main" count="81" uniqueCount="25">
  <si>
    <t>T</t>
  </si>
  <si>
    <t>E [GPa]</t>
  </si>
  <si>
    <t>Ref:</t>
  </si>
  <si>
    <t>Ncycles</t>
  </si>
  <si>
    <t>to use also for irradiated materials up to 10 dpa and below 400°C</t>
  </si>
  <si>
    <t>Dstot</t>
  </si>
  <si>
    <t>K mu</t>
  </si>
  <si>
    <t>K eps</t>
  </si>
  <si>
    <t>K</t>
  </si>
  <si>
    <t>m</t>
  </si>
  <si>
    <t>Poisson ratio</t>
  </si>
  <si>
    <t>T [°C]</t>
  </si>
  <si>
    <t>DPA</t>
  </si>
  <si>
    <t>dpa</t>
  </si>
  <si>
    <t>Su, min [Mpa]</t>
  </si>
  <si>
    <t>Sy,min [MPa]</t>
  </si>
  <si>
    <t>Se, irr [MPa]</t>
  </si>
  <si>
    <t>Sd, irr [Mpa]</t>
  </si>
  <si>
    <t>A.S02.5.6</t>
  </si>
  <si>
    <r>
      <t>S</t>
    </r>
    <r>
      <rPr>
        <b/>
        <vertAlign val="subscript"/>
        <sz val="10"/>
        <color theme="1"/>
        <rFont val="Arial"/>
        <family val="2"/>
      </rPr>
      <t>m</t>
    </r>
    <r>
      <rPr>
        <b/>
        <sz val="10"/>
        <color theme="1"/>
        <rFont val="Arial"/>
        <family val="2"/>
      </rPr>
      <t xml:space="preserve"> [MPa]</t>
    </r>
  </si>
  <si>
    <t>strain</t>
  </si>
  <si>
    <t>Sy,moy [MPa]</t>
  </si>
  <si>
    <t>nan</t>
  </si>
  <si>
    <t>Sigma for eps &lt; 0.05</t>
  </si>
  <si>
    <t>Sigma for eps &gt;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</si>
</sst>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color indexed="11"/>
      <name val="Arial"/>
      <family val="2"/>
    </font>
    <font>
      <b/>
      <sz val="10"/>
      <name val="Symbol"/>
      <family val="1"/>
      <charset val="2"/>
    </font>
    <font>
      <b/>
      <sz val="10"/>
      <name val="Arial"/>
      <family val="2"/>
    </font>
    <font>
      <b/>
      <sz val="10"/>
      <color indexed="11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1" fontId="5" fillId="2" borderId="12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/>
    </xf>
    <xf numFmtId="0" fontId="7" fillId="4" borderId="16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4" borderId="25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164" fontId="8" fillId="5" borderId="21" xfId="0" applyNumberFormat="1" applyFont="1" applyFill="1" applyBorder="1" applyAlignment="1">
      <alignment horizontal="center" vertical="center"/>
    </xf>
    <xf numFmtId="164" fontId="8" fillId="5" borderId="22" xfId="0" applyNumberFormat="1" applyFont="1" applyFill="1" applyBorder="1" applyAlignment="1">
      <alignment horizontal="center" vertical="center"/>
    </xf>
    <xf numFmtId="164" fontId="8" fillId="5" borderId="23" xfId="0" applyNumberFormat="1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1" fontId="7" fillId="4" borderId="30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7" fillId="4" borderId="26" xfId="0" applyNumberFormat="1" applyFont="1" applyFill="1" applyBorder="1" applyAlignment="1">
      <alignment horizontal="center" vertical="center"/>
    </xf>
    <xf numFmtId="1" fontId="7" fillId="4" borderId="32" xfId="0" applyNumberFormat="1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7" fillId="5" borderId="34" xfId="0" applyFont="1" applyFill="1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3" fillId="3" borderId="35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11" fontId="5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11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1" fontId="0" fillId="4" borderId="10" xfId="0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8" sqref="B18"/>
    </sheetView>
  </sheetViews>
  <sheetFormatPr defaultColWidth="8.85546875" defaultRowHeight="15" x14ac:dyDescent="0.25"/>
  <cols>
    <col min="1" max="1" width="10" style="2" bestFit="1" customWidth="1"/>
    <col min="2" max="2" width="9" style="2" bestFit="1" customWidth="1"/>
    <col min="3" max="6" width="8.85546875" style="2"/>
    <col min="7" max="7" width="24.140625" style="2" customWidth="1"/>
    <col min="8" max="16384" width="8.85546875" style="2"/>
  </cols>
  <sheetData>
    <row r="1" spans="1:2" x14ac:dyDescent="0.25">
      <c r="A1" s="3" t="s">
        <v>0</v>
      </c>
      <c r="B1" s="3" t="s">
        <v>1</v>
      </c>
    </row>
    <row r="2" spans="1:2" x14ac:dyDescent="0.25">
      <c r="A2" s="39">
        <v>20</v>
      </c>
      <c r="B2" s="39">
        <v>200</v>
      </c>
    </row>
    <row r="3" spans="1:2" x14ac:dyDescent="0.25">
      <c r="A3" s="2">
        <v>100</v>
      </c>
      <c r="B3" s="2">
        <v>193</v>
      </c>
    </row>
    <row r="4" spans="1:2" x14ac:dyDescent="0.25">
      <c r="A4" s="2">
        <v>150</v>
      </c>
      <c r="B4" s="2">
        <v>189</v>
      </c>
    </row>
    <row r="5" spans="1:2" x14ac:dyDescent="0.25">
      <c r="A5" s="2">
        <v>200</v>
      </c>
      <c r="B5" s="2">
        <v>185</v>
      </c>
    </row>
    <row r="6" spans="1:2" x14ac:dyDescent="0.25">
      <c r="A6" s="2">
        <v>250</v>
      </c>
      <c r="B6" s="2">
        <v>180</v>
      </c>
    </row>
    <row r="7" spans="1:2" x14ac:dyDescent="0.25">
      <c r="A7" s="2">
        <v>300</v>
      </c>
      <c r="B7" s="2">
        <v>176</v>
      </c>
    </row>
    <row r="8" spans="1:2" x14ac:dyDescent="0.25">
      <c r="A8" s="2">
        <v>350</v>
      </c>
      <c r="B8" s="2">
        <v>172</v>
      </c>
    </row>
    <row r="9" spans="1:2" x14ac:dyDescent="0.25">
      <c r="A9" s="2">
        <v>400</v>
      </c>
      <c r="B9" s="2">
        <v>168</v>
      </c>
    </row>
    <row r="10" spans="1:2" x14ac:dyDescent="0.25">
      <c r="A10" s="2">
        <v>450</v>
      </c>
      <c r="B10" s="2">
        <v>164</v>
      </c>
    </row>
    <row r="11" spans="1:2" x14ac:dyDescent="0.25">
      <c r="A11" s="2">
        <v>500</v>
      </c>
      <c r="B11" s="2">
        <v>159</v>
      </c>
    </row>
    <row r="12" spans="1:2" x14ac:dyDescent="0.25">
      <c r="A12" s="2">
        <v>550</v>
      </c>
      <c r="B12" s="2">
        <v>155</v>
      </c>
    </row>
    <row r="13" spans="1:2" x14ac:dyDescent="0.25">
      <c r="A13" s="2">
        <v>600</v>
      </c>
      <c r="B13" s="2">
        <v>151</v>
      </c>
    </row>
    <row r="14" spans="1:2" x14ac:dyDescent="0.25">
      <c r="A14" s="2">
        <v>650</v>
      </c>
      <c r="B14" s="2">
        <v>147</v>
      </c>
    </row>
    <row r="15" spans="1:2" x14ac:dyDescent="0.25">
      <c r="A15" s="2">
        <v>700</v>
      </c>
      <c r="B15" s="2">
        <v>142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workbookViewId="0">
      <selection activeCell="I10" sqref="I10"/>
    </sheetView>
  </sheetViews>
  <sheetFormatPr defaultColWidth="8.85546875" defaultRowHeight="15" x14ac:dyDescent="0.25"/>
  <cols>
    <col min="1" max="16384" width="8.85546875" style="1"/>
  </cols>
  <sheetData>
    <row r="1" spans="1:7" x14ac:dyDescent="0.25">
      <c r="A1" s="1" t="s">
        <v>2</v>
      </c>
      <c r="B1" s="1" t="s">
        <v>18</v>
      </c>
    </row>
    <row r="2" spans="1:7" ht="43.9" customHeight="1" thickBot="1" x14ac:dyDescent="0.3">
      <c r="A2" s="58" t="s">
        <v>4</v>
      </c>
      <c r="B2" s="59"/>
      <c r="C2" s="59"/>
    </row>
    <row r="3" spans="1:7" ht="15.75" thickBot="1" x14ac:dyDescent="0.3">
      <c r="A3" s="4" t="s">
        <v>20</v>
      </c>
      <c r="B3" s="60" t="s">
        <v>0</v>
      </c>
      <c r="C3" s="61"/>
      <c r="D3" s="61"/>
      <c r="E3" s="61"/>
      <c r="F3" s="61"/>
      <c r="G3" s="62"/>
    </row>
    <row r="4" spans="1:7" ht="15.75" thickBot="1" x14ac:dyDescent="0.3">
      <c r="A4" s="7" t="s">
        <v>3</v>
      </c>
      <c r="B4" s="5">
        <v>20</v>
      </c>
      <c r="C4" s="6">
        <v>450</v>
      </c>
      <c r="D4" s="6">
        <v>500</v>
      </c>
      <c r="E4" s="6">
        <v>550</v>
      </c>
      <c r="F4" s="6">
        <v>600</v>
      </c>
      <c r="G4" s="6">
        <v>650</v>
      </c>
    </row>
    <row r="5" spans="1:7" x14ac:dyDescent="0.25">
      <c r="A5" s="44">
        <v>10</v>
      </c>
      <c r="B5" s="54">
        <v>4.2910000000000004</v>
      </c>
      <c r="C5" s="1">
        <v>2.552</v>
      </c>
      <c r="D5" s="1">
        <v>2.4590000000000001</v>
      </c>
      <c r="E5" s="1">
        <v>2.3610000000000002</v>
      </c>
      <c r="F5" s="1">
        <v>2.2599999999999998</v>
      </c>
      <c r="G5" s="55">
        <v>2.1549999999999998</v>
      </c>
    </row>
    <row r="6" spans="1:7" x14ac:dyDescent="0.25">
      <c r="A6" s="44">
        <v>20</v>
      </c>
      <c r="B6" s="54">
        <v>2.7549999999999999</v>
      </c>
      <c r="C6" s="1">
        <v>1.931</v>
      </c>
      <c r="D6" s="1">
        <v>1.841</v>
      </c>
      <c r="E6" s="1">
        <v>1.748</v>
      </c>
      <c r="F6" s="1">
        <v>1.6519999999999999</v>
      </c>
      <c r="G6" s="55">
        <v>1.5529999999999999</v>
      </c>
    </row>
    <row r="7" spans="1:7" x14ac:dyDescent="0.25">
      <c r="A7" s="44">
        <v>40</v>
      </c>
      <c r="B7" s="54">
        <v>1.931</v>
      </c>
      <c r="C7" s="1">
        <v>1.4850000000000001</v>
      </c>
      <c r="D7" s="1">
        <v>1.403</v>
      </c>
      <c r="E7" s="1">
        <v>1.3160000000000001</v>
      </c>
      <c r="F7" s="1">
        <v>1.2310000000000001</v>
      </c>
      <c r="G7" s="55">
        <v>1.139</v>
      </c>
    </row>
    <row r="8" spans="1:7" x14ac:dyDescent="0.25">
      <c r="A8" s="44">
        <v>100</v>
      </c>
      <c r="B8" s="54">
        <v>1.331</v>
      </c>
      <c r="C8" s="1">
        <v>1.08</v>
      </c>
      <c r="D8" s="1">
        <v>1.0069999999999999</v>
      </c>
      <c r="E8" s="1">
        <v>0.93300000000000005</v>
      </c>
      <c r="F8" s="1">
        <v>0.85899999999999999</v>
      </c>
      <c r="G8" s="55">
        <v>0.78700000000000003</v>
      </c>
    </row>
    <row r="9" spans="1:7" x14ac:dyDescent="0.25">
      <c r="A9" s="44">
        <v>200</v>
      </c>
      <c r="B9" s="54">
        <v>1.0569999999999999</v>
      </c>
      <c r="C9" s="1">
        <v>0.86899999999999999</v>
      </c>
      <c r="D9" s="1">
        <v>0.80500000000000005</v>
      </c>
      <c r="E9" s="1">
        <v>0.74099999999999999</v>
      </c>
      <c r="F9" s="1">
        <v>0.67800000000000005</v>
      </c>
      <c r="G9" s="55">
        <v>0.61799999999999999</v>
      </c>
    </row>
    <row r="10" spans="1:7" x14ac:dyDescent="0.25">
      <c r="A10" s="44">
        <v>400</v>
      </c>
      <c r="B10" s="54">
        <v>0.86299999999999999</v>
      </c>
      <c r="C10" s="1">
        <v>0.71499999999999997</v>
      </c>
      <c r="D10" s="1">
        <v>0.65900000000000003</v>
      </c>
      <c r="E10" s="1">
        <v>0.60499999999999998</v>
      </c>
      <c r="F10" s="1">
        <v>0.55200000000000005</v>
      </c>
      <c r="G10" s="55">
        <v>0.502</v>
      </c>
    </row>
    <row r="11" spans="1:7" x14ac:dyDescent="0.25">
      <c r="A11" s="44">
        <v>1000</v>
      </c>
      <c r="B11" s="54">
        <v>0.69799999999999995</v>
      </c>
      <c r="C11" s="1">
        <v>0.57799999999999996</v>
      </c>
      <c r="D11" s="1">
        <v>0.53200000000000003</v>
      </c>
      <c r="E11" s="1">
        <v>0.48699999999999999</v>
      </c>
      <c r="F11" s="1">
        <v>0.44500000000000001</v>
      </c>
      <c r="G11" s="55">
        <v>0.40400000000000003</v>
      </c>
    </row>
    <row r="12" spans="1:7" x14ac:dyDescent="0.25">
      <c r="A12" s="44">
        <v>2000</v>
      </c>
      <c r="B12" s="54">
        <v>0.59</v>
      </c>
      <c r="C12" s="1">
        <v>0.48799999999999999</v>
      </c>
      <c r="D12" s="1">
        <v>0.44900000000000001</v>
      </c>
      <c r="E12" s="1">
        <v>0.41199999999999998</v>
      </c>
      <c r="F12" s="1">
        <v>0.376</v>
      </c>
      <c r="G12" s="55">
        <v>0.34200000000000003</v>
      </c>
    </row>
    <row r="13" spans="1:7" x14ac:dyDescent="0.25">
      <c r="A13" s="44">
        <v>4000</v>
      </c>
      <c r="B13" s="54">
        <v>0.498</v>
      </c>
      <c r="C13" s="1">
        <v>0.41199999999999998</v>
      </c>
      <c r="D13" s="1">
        <v>0.38</v>
      </c>
      <c r="E13" s="1">
        <v>0.34799999999999998</v>
      </c>
      <c r="F13" s="1">
        <v>0.317</v>
      </c>
      <c r="G13" s="55">
        <v>0.28899999999999998</v>
      </c>
    </row>
    <row r="14" spans="1:7" x14ac:dyDescent="0.25">
      <c r="A14" s="44">
        <v>10000</v>
      </c>
      <c r="B14" s="54">
        <v>0.39900000000000002</v>
      </c>
      <c r="C14" s="1">
        <v>0.33</v>
      </c>
      <c r="D14" s="1">
        <v>0.30399999999999999</v>
      </c>
      <c r="E14" s="1">
        <v>0.27800000000000002</v>
      </c>
      <c r="F14" s="1">
        <v>0.254</v>
      </c>
      <c r="G14" s="55">
        <v>0.23100000000000001</v>
      </c>
    </row>
    <row r="15" spans="1:7" x14ac:dyDescent="0.25">
      <c r="A15" s="44">
        <v>20000</v>
      </c>
      <c r="B15" s="54">
        <v>0.34100000000000003</v>
      </c>
      <c r="C15" s="1">
        <v>0.28199999999999997</v>
      </c>
      <c r="D15" s="1">
        <v>0.26</v>
      </c>
      <c r="E15" s="1">
        <v>0.23799999999999999</v>
      </c>
      <c r="F15" s="1">
        <v>0.217</v>
      </c>
      <c r="G15" s="55">
        <v>0.19800000000000001</v>
      </c>
    </row>
    <row r="16" spans="1:7" x14ac:dyDescent="0.25">
      <c r="A16" s="44">
        <v>40000</v>
      </c>
      <c r="B16" s="54">
        <v>0.30099999999999999</v>
      </c>
      <c r="C16" s="1">
        <v>0.249</v>
      </c>
      <c r="D16" s="1">
        <v>0.22900000000000001</v>
      </c>
      <c r="E16" s="1">
        <v>0.21</v>
      </c>
      <c r="F16" s="1">
        <v>0.192</v>
      </c>
      <c r="G16" s="55">
        <v>0.17399999999999999</v>
      </c>
    </row>
    <row r="17" spans="1:7" x14ac:dyDescent="0.25">
      <c r="A17" s="44">
        <v>100000</v>
      </c>
      <c r="B17" s="54">
        <v>0.26700000000000002</v>
      </c>
      <c r="C17" s="1">
        <v>0.221</v>
      </c>
      <c r="D17" s="1">
        <v>0.20300000000000001</v>
      </c>
      <c r="E17" s="1">
        <v>0.186</v>
      </c>
      <c r="F17" s="1">
        <v>0.17</v>
      </c>
      <c r="G17" s="55">
        <v>0.154</v>
      </c>
    </row>
    <row r="18" spans="1:7" x14ac:dyDescent="0.25">
      <c r="A18" s="44">
        <v>200000</v>
      </c>
      <c r="B18" s="54">
        <v>0.25</v>
      </c>
      <c r="C18" s="1">
        <v>0.20699999999999999</v>
      </c>
      <c r="D18" s="1">
        <v>0.19</v>
      </c>
      <c r="E18" s="1">
        <v>0.17399999999999999</v>
      </c>
      <c r="F18" s="1">
        <v>0.159</v>
      </c>
      <c r="G18" s="55">
        <v>0.14499999999999999</v>
      </c>
    </row>
    <row r="19" spans="1:7" x14ac:dyDescent="0.25">
      <c r="A19" s="44">
        <v>400000</v>
      </c>
      <c r="B19" s="54">
        <v>0.23799999999999999</v>
      </c>
      <c r="C19" s="1">
        <v>0.19700000000000001</v>
      </c>
      <c r="D19" s="1">
        <v>0.18099999999999999</v>
      </c>
      <c r="E19" s="1">
        <v>0.16600000000000001</v>
      </c>
      <c r="F19" s="1">
        <v>0.151</v>
      </c>
      <c r="G19" s="55">
        <v>0.13800000000000001</v>
      </c>
    </row>
    <row r="20" spans="1:7" x14ac:dyDescent="0.25">
      <c r="A20" s="44">
        <v>1000000</v>
      </c>
      <c r="B20" s="54">
        <v>0.22500000000000001</v>
      </c>
      <c r="C20" s="1">
        <v>0.186</v>
      </c>
      <c r="D20" s="1">
        <v>0.17100000000000001</v>
      </c>
      <c r="E20" s="1">
        <v>0.157</v>
      </c>
      <c r="F20" s="1">
        <v>0.14299999999999999</v>
      </c>
      <c r="G20" s="55">
        <v>0.13</v>
      </c>
    </row>
    <row r="21" spans="1:7" x14ac:dyDescent="0.25">
      <c r="A21" s="44">
        <v>5000000</v>
      </c>
      <c r="B21" s="54">
        <v>0.20300000000000001</v>
      </c>
      <c r="C21" s="1">
        <v>0.16800000000000001</v>
      </c>
      <c r="D21" s="1">
        <v>0.154</v>
      </c>
      <c r="E21" s="1">
        <v>0.14099999999999999</v>
      </c>
      <c r="F21" s="1">
        <v>0.129</v>
      </c>
      <c r="G21" s="55">
        <v>0.11700000000000001</v>
      </c>
    </row>
    <row r="22" spans="1:7" x14ac:dyDescent="0.25">
      <c r="A22" s="44">
        <v>10000000</v>
      </c>
      <c r="B22" s="54">
        <v>0.192</v>
      </c>
      <c r="C22" s="1">
        <v>0.159</v>
      </c>
      <c r="D22" s="1">
        <v>0.14599999999999999</v>
      </c>
      <c r="E22" s="1">
        <v>0.13400000000000001</v>
      </c>
      <c r="F22" s="1">
        <v>0.122</v>
      </c>
      <c r="G22" s="55">
        <v>0.111</v>
      </c>
    </row>
    <row r="23" spans="1:7" x14ac:dyDescent="0.25">
      <c r="A23" s="44">
        <v>50000000</v>
      </c>
      <c r="B23" s="54">
        <v>0.16900000000000001</v>
      </c>
      <c r="C23" s="1">
        <v>0.14000000000000001</v>
      </c>
      <c r="D23" s="1">
        <v>0.129</v>
      </c>
      <c r="E23" s="1">
        <v>0.11799999999999999</v>
      </c>
      <c r="F23" s="1">
        <v>0.108</v>
      </c>
      <c r="G23" s="55">
        <v>9.8000000000000004E-2</v>
      </c>
    </row>
    <row r="24" spans="1:7" ht="15.75" thickBot="1" x14ac:dyDescent="0.3">
      <c r="A24" s="57">
        <v>100000000</v>
      </c>
      <c r="B24" s="52">
        <v>0.16500000000000001</v>
      </c>
      <c r="C24" s="53">
        <v>0.13600000000000001</v>
      </c>
      <c r="D24" s="53">
        <v>0.125</v>
      </c>
      <c r="E24" s="53">
        <v>0.115</v>
      </c>
      <c r="F24" s="53">
        <v>0.105</v>
      </c>
      <c r="G24" s="56">
        <v>9.5000000000000001E-2</v>
      </c>
    </row>
    <row r="25" spans="1:7" ht="15.75" thickBot="1" x14ac:dyDescent="0.3">
      <c r="A25" s="75">
        <v>100000000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</sheetData>
  <mergeCells count="2">
    <mergeCell ref="A2:C2"/>
    <mergeCell ref="B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581A-3C59-46E7-A0C7-22A3B97D6358}">
  <dimension ref="A1:C16"/>
  <sheetViews>
    <sheetView workbookViewId="0">
      <selection activeCell="D24" sqref="D24"/>
    </sheetView>
  </sheetViews>
  <sheetFormatPr defaultRowHeight="15" x14ac:dyDescent="0.25"/>
  <sheetData>
    <row r="1" spans="1:3" ht="15.75" thickBot="1" x14ac:dyDescent="0.3">
      <c r="A1" s="65" t="s">
        <v>19</v>
      </c>
      <c r="B1" s="66"/>
      <c r="C1" s="67"/>
    </row>
    <row r="2" spans="1:3" ht="15.75" thickBot="1" x14ac:dyDescent="0.3">
      <c r="A2" s="37"/>
      <c r="B2" s="63" t="s">
        <v>12</v>
      </c>
      <c r="C2" s="64"/>
    </row>
    <row r="3" spans="1:3" ht="15.75" thickBot="1" x14ac:dyDescent="0.3">
      <c r="A3" s="18" t="s">
        <v>11</v>
      </c>
      <c r="B3" s="34">
        <v>0</v>
      </c>
      <c r="C3" s="35">
        <v>100</v>
      </c>
    </row>
    <row r="4" spans="1:3" x14ac:dyDescent="0.25">
      <c r="A4" s="38">
        <v>0</v>
      </c>
      <c r="B4" s="40">
        <v>127</v>
      </c>
      <c r="C4" s="41">
        <v>127</v>
      </c>
    </row>
    <row r="5" spans="1:3" x14ac:dyDescent="0.25">
      <c r="A5" s="19">
        <v>20</v>
      </c>
      <c r="B5" s="31">
        <v>127</v>
      </c>
      <c r="C5" s="42">
        <v>127</v>
      </c>
    </row>
    <row r="6" spans="1:3" x14ac:dyDescent="0.25">
      <c r="A6" s="19">
        <v>100</v>
      </c>
      <c r="B6" s="31">
        <v>127</v>
      </c>
      <c r="C6" s="42">
        <v>127</v>
      </c>
    </row>
    <row r="7" spans="1:3" x14ac:dyDescent="0.25">
      <c r="A7" s="19">
        <v>150</v>
      </c>
      <c r="B7" s="31">
        <v>127</v>
      </c>
      <c r="C7" s="42">
        <v>127</v>
      </c>
    </row>
    <row r="8" spans="1:3" x14ac:dyDescent="0.25">
      <c r="A8" s="19">
        <v>200</v>
      </c>
      <c r="B8" s="31">
        <v>123</v>
      </c>
      <c r="C8" s="42">
        <v>123</v>
      </c>
    </row>
    <row r="9" spans="1:3" x14ac:dyDescent="0.25">
      <c r="A9" s="19">
        <v>250</v>
      </c>
      <c r="B9" s="31">
        <v>114</v>
      </c>
      <c r="C9" s="42">
        <v>114</v>
      </c>
    </row>
    <row r="10" spans="1:3" x14ac:dyDescent="0.25">
      <c r="A10" s="36">
        <v>300</v>
      </c>
      <c r="B10" s="32">
        <v>106</v>
      </c>
      <c r="C10" s="43">
        <v>106</v>
      </c>
    </row>
    <row r="11" spans="1:3" x14ac:dyDescent="0.25">
      <c r="A11" s="19">
        <v>350</v>
      </c>
      <c r="B11" s="31">
        <v>102</v>
      </c>
      <c r="C11" s="42">
        <v>102</v>
      </c>
    </row>
    <row r="12" spans="1:3" x14ac:dyDescent="0.25">
      <c r="A12" s="36">
        <v>400</v>
      </c>
      <c r="B12" s="32">
        <v>97</v>
      </c>
      <c r="C12" s="43">
        <v>97</v>
      </c>
    </row>
    <row r="13" spans="1:3" x14ac:dyDescent="0.25">
      <c r="A13" s="19">
        <v>450</v>
      </c>
      <c r="B13" s="31">
        <v>93</v>
      </c>
      <c r="C13" s="42">
        <v>93</v>
      </c>
    </row>
    <row r="14" spans="1:3" x14ac:dyDescent="0.25">
      <c r="A14" s="36">
        <v>500</v>
      </c>
      <c r="B14" s="32">
        <v>90</v>
      </c>
      <c r="C14" s="43">
        <v>90</v>
      </c>
    </row>
    <row r="15" spans="1:3" x14ac:dyDescent="0.25">
      <c r="A15" s="36">
        <v>550</v>
      </c>
      <c r="B15" s="32">
        <v>88</v>
      </c>
      <c r="C15" s="43">
        <v>88</v>
      </c>
    </row>
    <row r="16" spans="1:3" ht="15.75" thickBot="1" x14ac:dyDescent="0.3">
      <c r="A16" s="20">
        <v>700</v>
      </c>
      <c r="B16" s="33">
        <v>0</v>
      </c>
      <c r="C16" s="17">
        <f>B16</f>
        <v>0</v>
      </c>
    </row>
  </sheetData>
  <mergeCells count="2">
    <mergeCell ref="B2:C2"/>
    <mergeCell ref="A1:C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CA53-842A-4B17-A328-913E1AB6CCD2}">
  <dimension ref="A1:AC22"/>
  <sheetViews>
    <sheetView workbookViewId="0">
      <selection activeCell="H26" sqref="H26"/>
    </sheetView>
  </sheetViews>
  <sheetFormatPr defaultColWidth="8.85546875" defaultRowHeight="15" x14ac:dyDescent="0.25"/>
  <cols>
    <col min="1" max="9" width="8.85546875" style="2"/>
    <col min="10" max="10" width="9.28515625" style="2" bestFit="1" customWidth="1"/>
    <col min="11" max="16384" width="8.85546875" style="2"/>
  </cols>
  <sheetData>
    <row r="1" spans="1:29" x14ac:dyDescent="0.25">
      <c r="A1" s="3"/>
      <c r="B1" s="68" t="s">
        <v>23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P1" s="68" t="s">
        <v>24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</row>
    <row r="2" spans="1:29" x14ac:dyDescent="0.25">
      <c r="A2" s="3" t="s">
        <v>11</v>
      </c>
      <c r="B2" s="3">
        <v>130.5</v>
      </c>
      <c r="C2" s="3">
        <v>142.30000000000001</v>
      </c>
      <c r="D2" s="3">
        <v>160</v>
      </c>
      <c r="E2" s="3">
        <v>188.2</v>
      </c>
      <c r="F2" s="3">
        <v>222.9</v>
      </c>
      <c r="G2" s="3">
        <v>228.1</v>
      </c>
      <c r="H2" s="3">
        <v>231.5</v>
      </c>
      <c r="I2" s="3">
        <v>242</v>
      </c>
      <c r="J2" s="3">
        <v>275.5</v>
      </c>
      <c r="K2" s="3">
        <v>276.8</v>
      </c>
      <c r="L2" s="3">
        <v>327</v>
      </c>
      <c r="M2" s="3">
        <v>367.9</v>
      </c>
      <c r="O2" s="51" t="s">
        <v>11</v>
      </c>
      <c r="P2" s="3">
        <f>222.9*1</f>
        <v>222.9</v>
      </c>
      <c r="Q2" s="3">
        <f>228.1*1</f>
        <v>228.1</v>
      </c>
      <c r="R2" s="3">
        <f>231.5*1</f>
        <v>231.5</v>
      </c>
      <c r="S2" s="3">
        <f>242*1</f>
        <v>242</v>
      </c>
      <c r="T2" s="3">
        <f>275.5*1</f>
        <v>275.5</v>
      </c>
      <c r="U2" s="3">
        <v>276.8</v>
      </c>
      <c r="V2" s="3">
        <v>327</v>
      </c>
      <c r="W2" s="3">
        <v>367.9</v>
      </c>
      <c r="X2" s="3">
        <v>544</v>
      </c>
      <c r="Y2" s="3">
        <v>560</v>
      </c>
      <c r="Z2" s="3">
        <v>562</v>
      </c>
      <c r="AA2" s="3">
        <v>576</v>
      </c>
      <c r="AB2" s="3">
        <v>646</v>
      </c>
      <c r="AC2" s="3">
        <v>763</v>
      </c>
    </row>
    <row r="3" spans="1:29" x14ac:dyDescent="0.25">
      <c r="A3" s="3">
        <v>20</v>
      </c>
      <c r="B3" s="2">
        <v>6.6326153088532599E-4</v>
      </c>
      <c r="C3" s="2">
        <v>7.3472984959247205E-4</v>
      </c>
      <c r="D3" s="2">
        <v>8.6586048273335598E-4</v>
      </c>
      <c r="E3" s="2">
        <v>1.21979715944262E-3</v>
      </c>
      <c r="F3" s="2">
        <v>2.80109974973046E-3</v>
      </c>
      <c r="G3" s="2">
        <v>2.68064259782825E-3</v>
      </c>
      <c r="H3" s="2">
        <v>2.9141221546810899E-3</v>
      </c>
      <c r="I3" s="2">
        <v>3.81565675859667E-3</v>
      </c>
      <c r="J3" s="2">
        <v>9.6267998927897797E-3</v>
      </c>
      <c r="K3" s="2">
        <v>0.01</v>
      </c>
      <c r="L3" s="2">
        <f>(L$2-$M$2)/($K$2-$M$2)*$K$3-(L$2-$K$2)/($K$2-$M$2)*$M$3</f>
        <v>3.2041712403951705E-2</v>
      </c>
      <c r="M3" s="2">
        <v>0.05</v>
      </c>
      <c r="O3" s="3">
        <v>20</v>
      </c>
      <c r="P3" s="2">
        <f>F3</f>
        <v>2.80109974973046E-3</v>
      </c>
      <c r="Q3" s="2">
        <f t="shared" ref="Q3:V4" si="0">G3</f>
        <v>2.68064259782825E-3</v>
      </c>
      <c r="R3" s="2">
        <f t="shared" si="0"/>
        <v>2.9141221546810899E-3</v>
      </c>
      <c r="S3" s="2">
        <f t="shared" si="0"/>
        <v>3.81565675859667E-3</v>
      </c>
      <c r="T3" s="2">
        <f t="shared" si="0"/>
        <v>9.6267998927897797E-3</v>
      </c>
      <c r="U3" s="2">
        <f t="shared" si="0"/>
        <v>0.01</v>
      </c>
      <c r="V3" s="2">
        <f t="shared" si="0"/>
        <v>3.2041712403951705E-2</v>
      </c>
      <c r="W3" s="2">
        <v>0.05</v>
      </c>
      <c r="X3" s="2">
        <f>(X2-$AC$2)/($W$2-$AC$2)*$W$3-(X2-$W$2)/($W$2-$AC$2)*$AC$3</f>
        <v>0.19039863325740319</v>
      </c>
      <c r="Y3" s="2">
        <f>(Y2-$AC$2)/($W$2-$AC$2)*$W$3-(Y2-$W$2)/($W$2-$AC$2)*$AC$3</f>
        <v>0.20315489749430524</v>
      </c>
      <c r="Z3" s="2">
        <f>(Z2-$AC$2)/($W$2-$AC$2)*$W$3-(Z2-$W$2)/($W$2-$AC$2)*$AC$3</f>
        <v>0.204749430523918</v>
      </c>
      <c r="AA3" s="2">
        <f>(AA2-$AC$2)/($W$2-$AC$2)*$W$3-(AA2-$W$2)/($W$2-$AC$2)*$AC$3</f>
        <v>0.21591116173120728</v>
      </c>
      <c r="AB3" s="2">
        <f>(AB2-$AC$2)/($W$2-$AC$2)*$W$3-(AB2-$W$2)/($W$2-$AC$2)*$AC$3</f>
        <v>0.27171981776765375</v>
      </c>
      <c r="AC3" s="2">
        <v>0.36499999999999999</v>
      </c>
    </row>
    <row r="4" spans="1:29" x14ac:dyDescent="0.25">
      <c r="A4" s="3">
        <v>100</v>
      </c>
      <c r="B4" s="2">
        <v>7.3016947736875403E-4</v>
      </c>
      <c r="C4" s="2">
        <v>8.5387807602078502E-4</v>
      </c>
      <c r="D4" s="2">
        <v>1.15951759751645E-3</v>
      </c>
      <c r="E4" s="2">
        <v>2.3741935835406001E-3</v>
      </c>
      <c r="F4" s="2">
        <v>9.4792741251328201E-3</v>
      </c>
      <c r="G4" s="2">
        <v>8.9106317637652806E-3</v>
      </c>
      <c r="H4" s="2">
        <v>0.01</v>
      </c>
      <c r="I4" s="2">
        <f>(I$2-$L$2)/($H$2-$L$2)*$H$4-(I$2-$H$2)/($H$2-$L$2)*$L$4</f>
        <v>1.4397905759162305E-2</v>
      </c>
      <c r="J4" s="2">
        <f>(J$2-$L$2)/($H$2-$L$2)*$H$4-(J$2-$H$2)/($H$2-$L$2)*$L$4</f>
        <v>2.8429319371727747E-2</v>
      </c>
      <c r="K4" s="2">
        <f>(K$2-$L$2)/($H$2-$L$2)*$H$4-(K$2-$H$2)/($H$2-$L$2)*$L$4</f>
        <v>2.8973821989528803E-2</v>
      </c>
      <c r="L4" s="2">
        <v>0.05</v>
      </c>
      <c r="M4" s="2" t="s">
        <v>22</v>
      </c>
      <c r="O4" s="3">
        <v>100</v>
      </c>
      <c r="P4" s="2">
        <f t="shared" ref="P4:P7" si="1">F4</f>
        <v>9.4792741251328201E-3</v>
      </c>
      <c r="Q4" s="2">
        <f t="shared" si="0"/>
        <v>8.9106317637652806E-3</v>
      </c>
      <c r="R4" s="2">
        <f t="shared" si="0"/>
        <v>0.01</v>
      </c>
      <c r="S4" s="2">
        <f t="shared" si="0"/>
        <v>1.4397905759162305E-2</v>
      </c>
      <c r="T4" s="2">
        <f t="shared" si="0"/>
        <v>2.8429319371727747E-2</v>
      </c>
      <c r="U4" s="2">
        <f t="shared" si="0"/>
        <v>2.8973821989528803E-2</v>
      </c>
      <c r="V4" s="2">
        <v>0.05</v>
      </c>
      <c r="W4" s="2">
        <f>(W$2-$AB$2)/($V$2-$AB$2)*$V$4-(W$2-$V$2)/($V$2-$AB$2)*$AB$4</f>
        <v>8.4361128526645762E-2</v>
      </c>
      <c r="X4" s="2">
        <f>(X$2-$AB$2)/($V$2-$AB$2)*$V$4-(X$2-$V$2)/($V$2-$AB$2)*$AB$4</f>
        <v>0.23230721003134797</v>
      </c>
      <c r="Y4" s="2">
        <f>(Y$2-$AB$2)/($V$2-$AB$2)*$V$4-(Y$2-$V$2)/($V$2-$AB$2)*$AB$4</f>
        <v>0.24574921630094046</v>
      </c>
      <c r="Z4" s="2">
        <f>(Z$2-$AB$2)/($V$2-$AB$2)*$V$4-(Z$2-$V$2)/($V$2-$AB$2)*$AB$4</f>
        <v>0.24742946708463948</v>
      </c>
      <c r="AA4" s="2">
        <f>(AA$2-$AB$2)/($V$2-$AB$2)*$V$4-(AA$2-$V$2)/($V$2-$AB$2)*$AB$4</f>
        <v>0.2591912225705329</v>
      </c>
      <c r="AB4" s="2">
        <v>0.318</v>
      </c>
      <c r="AC4" s="2" t="s">
        <v>22</v>
      </c>
    </row>
    <row r="5" spans="1:29" x14ac:dyDescent="0.25">
      <c r="A5" s="3">
        <v>200</v>
      </c>
      <c r="B5" s="2">
        <v>1.05218888006892E-3</v>
      </c>
      <c r="C5" s="2">
        <v>1.5177562883714401E-3</v>
      </c>
      <c r="D5" s="2">
        <v>2.98717694933166E-3</v>
      </c>
      <c r="E5" s="2">
        <v>0.01</v>
      </c>
      <c r="F5" s="2">
        <f>(F$2-$J$2)/($E$2-$J$2)*$E$5-(F$2-$E$2)/($E$2-$J$2)*$J$5</f>
        <v>2.5899198167239412E-2</v>
      </c>
      <c r="G5" s="2">
        <f>(G$2-$J$2)/($E$2-$J$2)*$E$5-(G$2-$E$2)/($E$2-$J$2)*$J$5</f>
        <v>2.8281786941580758E-2</v>
      </c>
      <c r="H5" s="2">
        <f>(H$2-$J$2)/($E$2-$J$2)*$E$5-(H$2-$E$2)/($E$2-$J$2)*$J$5</f>
        <v>2.9839633447880876E-2</v>
      </c>
      <c r="I5" s="2">
        <f>(I$2-$J$2)/($E$2-$J$2)*$E$5-(I$2-$E$2)/($E$2-$J$2)*$J$5</f>
        <v>3.4650630011454756E-2</v>
      </c>
      <c r="J5" s="2">
        <v>0.05</v>
      </c>
      <c r="K5" s="2" t="s">
        <v>22</v>
      </c>
      <c r="L5" s="2" t="s">
        <v>22</v>
      </c>
      <c r="M5" s="2" t="s">
        <v>22</v>
      </c>
      <c r="O5" s="3">
        <v>200</v>
      </c>
      <c r="P5" s="2">
        <f t="shared" si="1"/>
        <v>2.5899198167239412E-2</v>
      </c>
      <c r="Q5" s="2">
        <f t="shared" ref="Q5" si="2">G5</f>
        <v>2.8281786941580758E-2</v>
      </c>
      <c r="R5" s="2">
        <f t="shared" ref="R5" si="3">H5</f>
        <v>2.9839633447880876E-2</v>
      </c>
      <c r="S5" s="2">
        <f t="shared" ref="S5" si="4">I5</f>
        <v>3.4650630011454756E-2</v>
      </c>
      <c r="T5" s="2">
        <v>0.05</v>
      </c>
      <c r="U5" s="2">
        <f t="shared" ref="U5:Z5" si="5">(U$2-$AA$2)/($T$2-$AA$2)*$T$5-(U$2-$T$2)/($T$2-$AA$2)*$AA$5</f>
        <v>5.1051247920133123E-2</v>
      </c>
      <c r="V5" s="2">
        <f t="shared" si="5"/>
        <v>9.164559068219634E-2</v>
      </c>
      <c r="W5" s="2">
        <f t="shared" si="5"/>
        <v>0.12471946755407652</v>
      </c>
      <c r="X5" s="2">
        <f t="shared" si="5"/>
        <v>0.26712312811980032</v>
      </c>
      <c r="Y5" s="2">
        <f t="shared" si="5"/>
        <v>0.28006156405990018</v>
      </c>
      <c r="Z5" s="2">
        <f t="shared" si="5"/>
        <v>0.28167886855241264</v>
      </c>
      <c r="AA5" s="2">
        <v>0.29299999999999998</v>
      </c>
      <c r="AB5" s="2" t="s">
        <v>22</v>
      </c>
      <c r="AC5" s="2" t="s">
        <v>22</v>
      </c>
    </row>
    <row r="6" spans="1:29" x14ac:dyDescent="0.25">
      <c r="A6" s="3">
        <v>300</v>
      </c>
      <c r="B6" s="2">
        <v>2.2264985211072701E-3</v>
      </c>
      <c r="C6" s="2">
        <v>4.0140908391973996E-3</v>
      </c>
      <c r="D6" s="2">
        <v>0.01</v>
      </c>
      <c r="E6" s="2">
        <f>(E$2-$I$2)/($D$2-$I$2)*$D$6-(E$2-$D$2)/($D$2-$I$2)*$I$6</f>
        <v>2.3756097560975607E-2</v>
      </c>
      <c r="F6" s="2">
        <f>(F$2-$I$2)/($D$2-$I$2)*$D$6-(F$2-$D$2)/($D$2-$I$2)*$I$6</f>
        <v>4.0682926829268301E-2</v>
      </c>
      <c r="G6" s="2">
        <f>(G$2-$I$2)/($D$2-$I$2)*$D$6-(G$2-$D$2)/($D$2-$I$2)*$I$6</f>
        <v>4.3219512195121955E-2</v>
      </c>
      <c r="H6" s="2">
        <f>(H$2-$I$2)/($D$2-$I$2)*$D$6-(H$2-$D$2)/($D$2-$I$2)*$I$6</f>
        <v>4.487804878048781E-2</v>
      </c>
      <c r="I6" s="2">
        <v>0.05</v>
      </c>
      <c r="J6" s="2" t="s">
        <v>22</v>
      </c>
      <c r="K6" s="2" t="s">
        <v>22</v>
      </c>
      <c r="L6" s="2" t="s">
        <v>22</v>
      </c>
      <c r="M6" s="2" t="s">
        <v>22</v>
      </c>
      <c r="O6" s="3">
        <v>300</v>
      </c>
      <c r="P6" s="2">
        <f t="shared" si="1"/>
        <v>4.0682926829268301E-2</v>
      </c>
      <c r="Q6" s="2">
        <f t="shared" ref="Q6" si="6">G6</f>
        <v>4.3219512195121955E-2</v>
      </c>
      <c r="R6" s="2">
        <f t="shared" ref="R6" si="7">H6</f>
        <v>4.487804878048781E-2</v>
      </c>
      <c r="S6" s="2">
        <v>0.05</v>
      </c>
      <c r="T6" s="2">
        <f t="shared" ref="T6:Y6" si="8">(T$2-$Z$2)/($S$2-$Z$2)*$S$6-(T$2-$S$2)/($S$2-$Z$2)*$Z$6</f>
        <v>7.4496875000000004E-2</v>
      </c>
      <c r="U6" s="2">
        <f t="shared" si="8"/>
        <v>7.5447500000000015E-2</v>
      </c>
      <c r="V6" s="2">
        <f t="shared" si="8"/>
        <v>0.11215624999999999</v>
      </c>
      <c r="W6" s="2">
        <f t="shared" si="8"/>
        <v>0.14206437499999996</v>
      </c>
      <c r="X6" s="2">
        <f t="shared" si="8"/>
        <v>0.27083749999999995</v>
      </c>
      <c r="Y6" s="2">
        <f t="shared" si="8"/>
        <v>0.2825375</v>
      </c>
      <c r="Z6" s="2">
        <v>0.28399999999999997</v>
      </c>
      <c r="AA6" s="2" t="s">
        <v>22</v>
      </c>
      <c r="AB6" s="2" t="s">
        <v>22</v>
      </c>
      <c r="AC6" s="2" t="s">
        <v>22</v>
      </c>
    </row>
    <row r="7" spans="1:29" x14ac:dyDescent="0.25">
      <c r="A7" s="3">
        <v>400</v>
      </c>
      <c r="B7" s="2">
        <v>5.0075785105068603E-3</v>
      </c>
      <c r="C7" s="2">
        <v>0.01</v>
      </c>
      <c r="D7" s="2">
        <f>(D$2-$G$2)/($C$2-$G$2)*$C$7-(D$2-$C$2)/($C$2-$G$2)*$G$7</f>
        <v>1.8251748251748245E-2</v>
      </c>
      <c r="E7" s="2">
        <f>(E$2-$G$2)/($C$2-$G$2)*$C$7-(E$2-$C$2)/($C$2-$G$2)*$G$7</f>
        <v>3.1398601398601393E-2</v>
      </c>
      <c r="F7" s="2">
        <f>(F$2-$G$2)/($C$2-$G$2)*$C$7-(F$2-$C$2)/($C$2-$G$2)*$G$7</f>
        <v>4.7575757575757584E-2</v>
      </c>
      <c r="G7" s="2">
        <v>0.05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O7" s="3">
        <v>400</v>
      </c>
      <c r="P7" s="2">
        <f t="shared" si="1"/>
        <v>4.7575757575757584E-2</v>
      </c>
      <c r="Q7" s="2">
        <v>0.05</v>
      </c>
      <c r="R7" s="2">
        <f t="shared" ref="R7:X7" si="9">(R$2-$Y$2)/($Q$2-$Y$2)*$Q$7-(R$2-$Q$2)/($Q$2-$Y$2)*$Y$7</f>
        <v>5.2356131364868941E-2</v>
      </c>
      <c r="S7" s="2">
        <f t="shared" si="9"/>
        <v>5.9632419403434785E-2</v>
      </c>
      <c r="T7" s="2">
        <f t="shared" si="9"/>
        <v>8.2847243145525773E-2</v>
      </c>
      <c r="U7" s="2">
        <f t="shared" si="9"/>
        <v>8.3748116902681552E-2</v>
      </c>
      <c r="V7" s="2">
        <f t="shared" si="9"/>
        <v>0.11853570352515821</v>
      </c>
      <c r="W7" s="2">
        <f t="shared" si="9"/>
        <v>0.1468785778849051</v>
      </c>
      <c r="X7" s="2">
        <f t="shared" si="9"/>
        <v>0.26891232298885209</v>
      </c>
      <c r="Y7" s="2">
        <v>0.28000000000000003</v>
      </c>
      <c r="Z7" s="2" t="s">
        <v>22</v>
      </c>
      <c r="AA7" s="2" t="s">
        <v>22</v>
      </c>
      <c r="AB7" s="2" t="s">
        <v>22</v>
      </c>
      <c r="AC7" s="2" t="s">
        <v>22</v>
      </c>
    </row>
    <row r="8" spans="1:29" x14ac:dyDescent="0.25">
      <c r="A8" s="3">
        <v>500</v>
      </c>
      <c r="B8" s="2">
        <v>0.01</v>
      </c>
      <c r="C8" s="2">
        <f>(C$2-$F$2)/($B$2-$F$2)*$B$8-(C$2-$B$2)/($B$2-$F$2)*$F$8</f>
        <v>1.5108225108225114E-2</v>
      </c>
      <c r="D8" s="2">
        <f>(D$2-$F$2)/($B$2-$F$2)*$B$8-(D$2-$B$2)/($B$2-$F$2)*$F$8</f>
        <v>2.2770562770562771E-2</v>
      </c>
      <c r="E8" s="2">
        <f>(E$2-$F$2)/($B$2-$F$2)*$B$8-(E$2-$B$2)/($B$2-$F$2)*$F$8</f>
        <v>3.497835497835497E-2</v>
      </c>
      <c r="F8" s="2">
        <v>0.05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O8" s="3">
        <v>500</v>
      </c>
      <c r="P8" s="2">
        <v>0.05</v>
      </c>
      <c r="Q8" s="2">
        <f t="shared" ref="Q8:W8" si="10">(Q$2-$X$2)/($P$2-$X$2)*$P$8-(Q$2-$P$2)/($P$2-$X$2)*$X$8</f>
        <v>5.3724696356275289E-2</v>
      </c>
      <c r="R8" s="2">
        <f t="shared" si="10"/>
        <v>5.6160074743070693E-2</v>
      </c>
      <c r="S8" s="2">
        <f t="shared" si="10"/>
        <v>6.368109623170351E-2</v>
      </c>
      <c r="T8" s="2">
        <f t="shared" si="10"/>
        <v>8.7676736219246335E-2</v>
      </c>
      <c r="U8" s="2">
        <f t="shared" si="10"/>
        <v>8.8607910308315163E-2</v>
      </c>
      <c r="V8" s="2">
        <f t="shared" si="10"/>
        <v>0.1245655559015883</v>
      </c>
      <c r="W8" s="2">
        <f t="shared" si="10"/>
        <v>0.15386172531921519</v>
      </c>
      <c r="X8" s="2">
        <v>0.28000000000000003</v>
      </c>
      <c r="Y8" s="2" t="s">
        <v>22</v>
      </c>
      <c r="Z8" s="2" t="s">
        <v>22</v>
      </c>
      <c r="AA8" s="2" t="s">
        <v>22</v>
      </c>
      <c r="AB8" s="2" t="s">
        <v>22</v>
      </c>
      <c r="AC8" s="2" t="s">
        <v>22</v>
      </c>
    </row>
    <row r="17" spans="15:15" x14ac:dyDescent="0.25">
      <c r="O17" s="3"/>
    </row>
    <row r="18" spans="15:15" x14ac:dyDescent="0.25">
      <c r="O18" s="3"/>
    </row>
    <row r="19" spans="15:15" x14ac:dyDescent="0.25">
      <c r="O19" s="3"/>
    </row>
    <row r="20" spans="15:15" x14ac:dyDescent="0.25">
      <c r="O20" s="3"/>
    </row>
    <row r="21" spans="15:15" x14ac:dyDescent="0.25">
      <c r="O21" s="3"/>
    </row>
    <row r="22" spans="15:15" x14ac:dyDescent="0.25">
      <c r="O22" s="3"/>
    </row>
  </sheetData>
  <mergeCells count="2">
    <mergeCell ref="B1:M1"/>
    <mergeCell ref="P1:AC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59BE-600F-465A-9C73-696CD2164805}">
  <dimension ref="A2:C10"/>
  <sheetViews>
    <sheetView zoomScale="140" zoomScaleNormal="140" workbookViewId="0">
      <selection activeCell="D20" sqref="D20"/>
    </sheetView>
  </sheetViews>
  <sheetFormatPr defaultColWidth="8.85546875" defaultRowHeight="15" x14ac:dyDescent="0.25"/>
  <cols>
    <col min="1" max="16384" width="8.85546875" style="1"/>
  </cols>
  <sheetData>
    <row r="2" spans="1:3" x14ac:dyDescent="0.25">
      <c r="B2" s="69" t="s">
        <v>13</v>
      </c>
      <c r="C2" s="69"/>
    </row>
    <row r="3" spans="1:3" x14ac:dyDescent="0.25">
      <c r="A3" s="21" t="s">
        <v>11</v>
      </c>
      <c r="B3" s="21">
        <v>0</v>
      </c>
      <c r="C3" s="21">
        <v>1</v>
      </c>
    </row>
    <row r="4" spans="1:3" x14ac:dyDescent="0.25">
      <c r="A4" s="1">
        <v>50</v>
      </c>
      <c r="B4" s="16">
        <v>0</v>
      </c>
      <c r="C4" s="16">
        <v>0</v>
      </c>
    </row>
    <row r="5" spans="1:3" x14ac:dyDescent="0.25">
      <c r="A5" s="1">
        <v>100</v>
      </c>
      <c r="B5" s="16">
        <v>0</v>
      </c>
      <c r="C5" s="16">
        <v>0</v>
      </c>
    </row>
    <row r="6" spans="1:3" x14ac:dyDescent="0.25">
      <c r="A6" s="1">
        <v>150</v>
      </c>
      <c r="B6" s="16">
        <v>0</v>
      </c>
      <c r="C6" s="16">
        <v>0</v>
      </c>
    </row>
    <row r="7" spans="1:3" x14ac:dyDescent="0.25">
      <c r="A7" s="1">
        <v>200</v>
      </c>
      <c r="B7" s="16">
        <v>0</v>
      </c>
      <c r="C7" s="16">
        <v>0</v>
      </c>
    </row>
    <row r="8" spans="1:3" x14ac:dyDescent="0.25">
      <c r="A8" s="1">
        <v>250</v>
      </c>
      <c r="B8" s="16">
        <v>0</v>
      </c>
      <c r="C8" s="16">
        <v>0</v>
      </c>
    </row>
    <row r="9" spans="1:3" x14ac:dyDescent="0.25">
      <c r="A9" s="1">
        <v>300</v>
      </c>
      <c r="B9" s="16">
        <v>0</v>
      </c>
      <c r="C9" s="16">
        <v>0</v>
      </c>
    </row>
    <row r="10" spans="1:3" x14ac:dyDescent="0.25">
      <c r="A10" s="1">
        <v>350</v>
      </c>
      <c r="B10" s="16">
        <v>0</v>
      </c>
      <c r="C10" s="16">
        <v>0</v>
      </c>
    </row>
  </sheetData>
  <mergeCells count="1">
    <mergeCell ref="B2:C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6938-F14E-483E-BD0E-29DD2386B7BC}">
  <dimension ref="A1:L11"/>
  <sheetViews>
    <sheetView workbookViewId="0">
      <selection activeCell="F21" sqref="F21"/>
    </sheetView>
  </sheetViews>
  <sheetFormatPr defaultRowHeight="15" x14ac:dyDescent="0.25"/>
  <sheetData>
    <row r="1" spans="1:12" x14ac:dyDescent="0.25">
      <c r="A1" t="s">
        <v>17</v>
      </c>
    </row>
    <row r="2" spans="1:12" x14ac:dyDescent="0.25">
      <c r="A2" s="22"/>
      <c r="B2" s="70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15.75" thickBot="1" x14ac:dyDescent="0.3">
      <c r="A3" s="24" t="s">
        <v>11</v>
      </c>
      <c r="B3" s="25">
        <v>0</v>
      </c>
      <c r="C3" s="26">
        <v>0.5</v>
      </c>
      <c r="D3" s="26">
        <v>1</v>
      </c>
      <c r="E3" s="26">
        <v>1.5</v>
      </c>
      <c r="F3" s="26">
        <v>2</v>
      </c>
      <c r="G3" s="26">
        <v>2.5</v>
      </c>
      <c r="H3" s="26">
        <v>3</v>
      </c>
      <c r="I3" s="26">
        <v>3.5</v>
      </c>
      <c r="J3" s="26">
        <v>4</v>
      </c>
      <c r="K3" s="26">
        <v>4.5</v>
      </c>
      <c r="L3" s="27">
        <v>5</v>
      </c>
    </row>
    <row r="4" spans="1:12" x14ac:dyDescent="0.25">
      <c r="A4" s="28">
        <v>20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</row>
    <row r="5" spans="1:12" x14ac:dyDescent="0.25">
      <c r="A5" s="29">
        <v>50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</row>
    <row r="6" spans="1:12" x14ac:dyDescent="0.25">
      <c r="A6" s="29">
        <v>100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</row>
    <row r="7" spans="1:12" x14ac:dyDescent="0.25">
      <c r="A7" s="29">
        <v>150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</row>
    <row r="8" spans="1:12" x14ac:dyDescent="0.25">
      <c r="A8" s="29">
        <v>200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</row>
    <row r="9" spans="1:12" x14ac:dyDescent="0.25">
      <c r="A9" s="29">
        <v>250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</row>
    <row r="10" spans="1:12" x14ac:dyDescent="0.25">
      <c r="A10" s="29">
        <v>300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</row>
    <row r="11" spans="1:12" x14ac:dyDescent="0.25">
      <c r="A11" s="30">
        <v>350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</row>
  </sheetData>
  <mergeCells count="1">
    <mergeCell ref="B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B7B7-B490-4CD3-AB1A-AACEAE39BE05}">
  <dimension ref="A1:C14"/>
  <sheetViews>
    <sheetView workbookViewId="0">
      <selection activeCell="E24" sqref="E24"/>
    </sheetView>
  </sheetViews>
  <sheetFormatPr defaultColWidth="8.85546875" defaultRowHeight="15" x14ac:dyDescent="0.25"/>
  <cols>
    <col min="1" max="1" width="13.28515625" style="1" customWidth="1"/>
    <col min="2" max="16384" width="8.85546875" style="1"/>
  </cols>
  <sheetData>
    <row r="1" spans="1:3" x14ac:dyDescent="0.25">
      <c r="A1" s="1" t="s">
        <v>15</v>
      </c>
    </row>
    <row r="2" spans="1:3" x14ac:dyDescent="0.25">
      <c r="B2" s="70" t="s">
        <v>13</v>
      </c>
      <c r="C2" s="70"/>
    </row>
    <row r="3" spans="1:3" x14ac:dyDescent="0.25">
      <c r="A3" s="21" t="s">
        <v>11</v>
      </c>
      <c r="B3" s="21">
        <v>0</v>
      </c>
      <c r="C3" s="21">
        <v>100</v>
      </c>
    </row>
    <row r="4" spans="1:3" x14ac:dyDescent="0.25">
      <c r="A4" s="2">
        <v>20</v>
      </c>
      <c r="B4" s="2">
        <v>190</v>
      </c>
      <c r="C4" s="2">
        <v>190</v>
      </c>
    </row>
    <row r="5" spans="1:3" x14ac:dyDescent="0.25">
      <c r="A5" s="2">
        <v>100</v>
      </c>
      <c r="B5" s="2">
        <v>165</v>
      </c>
      <c r="C5" s="2">
        <v>165</v>
      </c>
    </row>
    <row r="6" spans="1:3" x14ac:dyDescent="0.25">
      <c r="A6" s="2">
        <v>150</v>
      </c>
      <c r="B6" s="2">
        <v>150</v>
      </c>
      <c r="C6" s="2">
        <v>150</v>
      </c>
    </row>
    <row r="7" spans="1:3" x14ac:dyDescent="0.25">
      <c r="A7" s="2">
        <v>200</v>
      </c>
      <c r="B7" s="2">
        <v>137</v>
      </c>
      <c r="C7" s="2">
        <v>137</v>
      </c>
    </row>
    <row r="8" spans="1:3" x14ac:dyDescent="0.25">
      <c r="A8" s="2">
        <v>250</v>
      </c>
      <c r="B8" s="2">
        <v>127</v>
      </c>
      <c r="C8" s="2">
        <v>127</v>
      </c>
    </row>
    <row r="9" spans="1:3" x14ac:dyDescent="0.25">
      <c r="A9" s="2">
        <v>300</v>
      </c>
      <c r="B9" s="2">
        <v>118</v>
      </c>
      <c r="C9" s="2">
        <v>118</v>
      </c>
    </row>
    <row r="10" spans="1:3" x14ac:dyDescent="0.25">
      <c r="A10" s="2">
        <v>350</v>
      </c>
      <c r="B10" s="2">
        <v>113</v>
      </c>
      <c r="C10" s="2">
        <v>113</v>
      </c>
    </row>
    <row r="11" spans="1:3" x14ac:dyDescent="0.25">
      <c r="A11" s="2">
        <v>400</v>
      </c>
      <c r="B11" s="2">
        <v>108</v>
      </c>
      <c r="C11" s="2">
        <v>108</v>
      </c>
    </row>
    <row r="12" spans="1:3" x14ac:dyDescent="0.25">
      <c r="A12" s="2">
        <v>450</v>
      </c>
      <c r="B12" s="2">
        <v>103</v>
      </c>
      <c r="C12" s="2">
        <v>103</v>
      </c>
    </row>
    <row r="13" spans="1:3" x14ac:dyDescent="0.25">
      <c r="A13" s="2">
        <v>500</v>
      </c>
      <c r="B13" s="2">
        <v>100</v>
      </c>
      <c r="C13" s="2">
        <v>100</v>
      </c>
    </row>
    <row r="14" spans="1:3" x14ac:dyDescent="0.25">
      <c r="A14" s="2">
        <v>550</v>
      </c>
      <c r="B14" s="2">
        <v>98</v>
      </c>
      <c r="C14" s="2">
        <v>98</v>
      </c>
    </row>
  </sheetData>
  <mergeCells count="1">
    <mergeCell ref="B2:C2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3C07-C52B-4D9F-8A88-089B0C00D828}">
  <dimension ref="A1:C15"/>
  <sheetViews>
    <sheetView workbookViewId="0">
      <selection activeCell="N22" sqref="N22"/>
    </sheetView>
  </sheetViews>
  <sheetFormatPr defaultRowHeight="15" x14ac:dyDescent="0.25"/>
  <cols>
    <col min="1" max="1" width="13.28515625" bestFit="1" customWidth="1"/>
  </cols>
  <sheetData>
    <row r="1" spans="1:3" x14ac:dyDescent="0.25">
      <c r="A1" s="1" t="s">
        <v>21</v>
      </c>
      <c r="B1" s="1"/>
      <c r="C1" s="1"/>
    </row>
    <row r="2" spans="1:3" x14ac:dyDescent="0.25">
      <c r="A2" s="1"/>
      <c r="B2" s="70" t="s">
        <v>13</v>
      </c>
      <c r="C2" s="70"/>
    </row>
    <row r="3" spans="1:3" x14ac:dyDescent="0.25">
      <c r="A3" s="21" t="s">
        <v>11</v>
      </c>
      <c r="B3" s="21">
        <v>0</v>
      </c>
      <c r="C3" s="21">
        <v>100</v>
      </c>
    </row>
    <row r="4" spans="1:3" x14ac:dyDescent="0.25">
      <c r="A4" s="2">
        <v>20</v>
      </c>
      <c r="B4" s="2">
        <v>235</v>
      </c>
      <c r="C4" s="2">
        <v>235</v>
      </c>
    </row>
    <row r="5" spans="1:3" x14ac:dyDescent="0.25">
      <c r="A5" s="2">
        <v>100</v>
      </c>
      <c r="B5" s="2">
        <v>196</v>
      </c>
      <c r="C5" s="2">
        <v>196</v>
      </c>
    </row>
    <row r="6" spans="1:3" x14ac:dyDescent="0.25">
      <c r="A6" s="2">
        <v>150</v>
      </c>
      <c r="B6" s="2">
        <v>177.5</v>
      </c>
      <c r="C6" s="2">
        <v>177.5</v>
      </c>
    </row>
    <row r="7" spans="1:3" x14ac:dyDescent="0.25">
      <c r="A7" s="2">
        <v>200</v>
      </c>
      <c r="B7" s="2">
        <v>159</v>
      </c>
      <c r="C7" s="2">
        <v>159</v>
      </c>
    </row>
    <row r="8" spans="1:3" x14ac:dyDescent="0.25">
      <c r="A8" s="2">
        <v>250</v>
      </c>
      <c r="B8" s="2">
        <v>147</v>
      </c>
      <c r="C8" s="2">
        <v>147</v>
      </c>
    </row>
    <row r="9" spans="1:3" x14ac:dyDescent="0.25">
      <c r="A9" s="2">
        <v>300</v>
      </c>
      <c r="B9" s="2">
        <v>135</v>
      </c>
      <c r="C9" s="2">
        <v>135</v>
      </c>
    </row>
    <row r="10" spans="1:3" x14ac:dyDescent="0.25">
      <c r="A10" s="2">
        <v>350</v>
      </c>
      <c r="B10" s="2">
        <v>126</v>
      </c>
      <c r="C10" s="2">
        <v>126</v>
      </c>
    </row>
    <row r="11" spans="1:3" x14ac:dyDescent="0.25">
      <c r="A11" s="2">
        <v>400</v>
      </c>
      <c r="B11" s="2">
        <v>120</v>
      </c>
      <c r="C11" s="2">
        <v>120</v>
      </c>
    </row>
    <row r="12" spans="1:3" x14ac:dyDescent="0.25">
      <c r="A12" s="2">
        <v>450</v>
      </c>
      <c r="B12" s="2">
        <v>115</v>
      </c>
      <c r="C12" s="2">
        <v>115</v>
      </c>
    </row>
    <row r="13" spans="1:3" x14ac:dyDescent="0.25">
      <c r="A13" s="2">
        <v>500</v>
      </c>
      <c r="B13" s="2">
        <v>110</v>
      </c>
      <c r="C13" s="2">
        <v>110</v>
      </c>
    </row>
    <row r="14" spans="1:3" x14ac:dyDescent="0.25">
      <c r="A14" s="2">
        <v>550</v>
      </c>
      <c r="B14" s="2">
        <v>106</v>
      </c>
      <c r="C14" s="2">
        <v>106</v>
      </c>
    </row>
    <row r="15" spans="1:3" x14ac:dyDescent="0.25">
      <c r="A15" s="2">
        <v>1000</v>
      </c>
      <c r="B15" s="2">
        <v>0</v>
      </c>
      <c r="C15" s="2">
        <v>0</v>
      </c>
    </row>
  </sheetData>
  <mergeCells count="1"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6E78-4B6E-4E72-8283-E849FD84C2E5}">
  <dimension ref="A1:C14"/>
  <sheetViews>
    <sheetView workbookViewId="0">
      <selection activeCell="K12" sqref="K12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70" t="s">
        <v>14</v>
      </c>
      <c r="B1" s="70"/>
      <c r="C1" s="70"/>
    </row>
    <row r="2" spans="1:3" x14ac:dyDescent="0.25">
      <c r="B2" s="70" t="s">
        <v>13</v>
      </c>
      <c r="C2" s="69"/>
    </row>
    <row r="3" spans="1:3" x14ac:dyDescent="0.25">
      <c r="A3" s="21" t="s">
        <v>11</v>
      </c>
      <c r="B3" s="21">
        <v>0</v>
      </c>
      <c r="C3" s="21">
        <v>100</v>
      </c>
    </row>
    <row r="4" spans="1:3" x14ac:dyDescent="0.25">
      <c r="A4" s="2">
        <v>20</v>
      </c>
      <c r="B4" s="2">
        <v>490</v>
      </c>
      <c r="C4" s="2">
        <v>490</v>
      </c>
    </row>
    <row r="5" spans="1:3" x14ac:dyDescent="0.25">
      <c r="A5" s="2">
        <v>100</v>
      </c>
      <c r="B5" s="2">
        <v>430</v>
      </c>
      <c r="C5" s="2">
        <v>430</v>
      </c>
    </row>
    <row r="6" spans="1:3" x14ac:dyDescent="0.25">
      <c r="A6" s="2">
        <v>150</v>
      </c>
      <c r="B6" s="2">
        <v>410</v>
      </c>
      <c r="C6" s="2">
        <v>410</v>
      </c>
    </row>
    <row r="7" spans="1:3" x14ac:dyDescent="0.25">
      <c r="A7" s="2">
        <v>200</v>
      </c>
      <c r="B7" s="2">
        <v>390</v>
      </c>
      <c r="C7" s="2">
        <v>390</v>
      </c>
    </row>
    <row r="8" spans="1:3" x14ac:dyDescent="0.25">
      <c r="A8" s="2">
        <v>250</v>
      </c>
      <c r="B8" s="2">
        <v>385</v>
      </c>
      <c r="C8" s="2">
        <v>385</v>
      </c>
    </row>
    <row r="9" spans="1:3" x14ac:dyDescent="0.25">
      <c r="A9" s="2">
        <v>300</v>
      </c>
      <c r="B9" s="2">
        <v>380</v>
      </c>
      <c r="C9" s="2">
        <v>380</v>
      </c>
    </row>
    <row r="10" spans="1:3" x14ac:dyDescent="0.25">
      <c r="A10" s="2">
        <v>350</v>
      </c>
      <c r="B10" s="2">
        <v>380</v>
      </c>
      <c r="C10" s="2">
        <v>380</v>
      </c>
    </row>
    <row r="11" spans="1:3" x14ac:dyDescent="0.25">
      <c r="A11" s="2">
        <v>400</v>
      </c>
      <c r="B11" s="2">
        <v>380</v>
      </c>
      <c r="C11" s="2">
        <v>380</v>
      </c>
    </row>
    <row r="12" spans="1:3" x14ac:dyDescent="0.25">
      <c r="A12" s="2">
        <v>450</v>
      </c>
      <c r="B12" s="2">
        <v>370</v>
      </c>
      <c r="C12" s="2">
        <v>370</v>
      </c>
    </row>
    <row r="13" spans="1:3" x14ac:dyDescent="0.25">
      <c r="A13" s="2">
        <v>500</v>
      </c>
      <c r="B13" s="2">
        <v>360</v>
      </c>
      <c r="C13" s="2">
        <v>360</v>
      </c>
    </row>
    <row r="14" spans="1:3" x14ac:dyDescent="0.25">
      <c r="A14" s="2">
        <v>550</v>
      </c>
      <c r="B14" s="2">
        <v>350</v>
      </c>
      <c r="C14" s="2">
        <v>350</v>
      </c>
    </row>
  </sheetData>
  <mergeCells count="2">
    <mergeCell ref="A1:C1"/>
    <mergeCell ref="B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757A-8ADF-4E45-B0FD-F8E8977941F9}">
  <dimension ref="A1:L11"/>
  <sheetViews>
    <sheetView workbookViewId="0">
      <selection activeCell="K35" sqref="K35"/>
    </sheetView>
  </sheetViews>
  <sheetFormatPr defaultRowHeight="15" x14ac:dyDescent="0.25"/>
  <cols>
    <col min="1" max="1" width="11.5703125" customWidth="1"/>
  </cols>
  <sheetData>
    <row r="1" spans="1:12" x14ac:dyDescent="0.25">
      <c r="A1" t="s">
        <v>17</v>
      </c>
    </row>
    <row r="2" spans="1:12" x14ac:dyDescent="0.25">
      <c r="A2" s="22"/>
      <c r="B2" s="70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15.75" thickBot="1" x14ac:dyDescent="0.3">
      <c r="A3" s="24" t="s">
        <v>11</v>
      </c>
      <c r="B3" s="25">
        <v>0</v>
      </c>
      <c r="C3" s="26">
        <v>0.5</v>
      </c>
      <c r="D3" s="26">
        <v>1</v>
      </c>
      <c r="E3" s="26">
        <v>1.5</v>
      </c>
      <c r="F3" s="26">
        <v>2</v>
      </c>
      <c r="G3" s="26">
        <v>2.5</v>
      </c>
      <c r="H3" s="26">
        <v>3</v>
      </c>
      <c r="I3" s="26">
        <v>3.5</v>
      </c>
      <c r="J3" s="26">
        <v>4</v>
      </c>
      <c r="K3" s="26">
        <v>4.5</v>
      </c>
      <c r="L3" s="27">
        <v>5</v>
      </c>
    </row>
    <row r="4" spans="1:12" x14ac:dyDescent="0.25">
      <c r="A4" s="28">
        <v>20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</row>
    <row r="5" spans="1:12" x14ac:dyDescent="0.25">
      <c r="A5" s="29">
        <v>50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</row>
    <row r="6" spans="1:12" x14ac:dyDescent="0.25">
      <c r="A6" s="29">
        <v>100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</row>
    <row r="7" spans="1:12" x14ac:dyDescent="0.25">
      <c r="A7" s="29">
        <v>150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</row>
    <row r="8" spans="1:12" x14ac:dyDescent="0.25">
      <c r="A8" s="29">
        <v>200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</row>
    <row r="9" spans="1:12" x14ac:dyDescent="0.25">
      <c r="A9" s="29">
        <v>250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</row>
    <row r="10" spans="1:12" x14ac:dyDescent="0.25">
      <c r="A10" s="29">
        <v>300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</row>
    <row r="11" spans="1:12" x14ac:dyDescent="0.25">
      <c r="A11" s="30">
        <v>350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D92A-97ED-46FD-B28E-A85C9172A402}">
  <dimension ref="A1:L11"/>
  <sheetViews>
    <sheetView workbookViewId="0">
      <selection activeCell="K23" sqref="K23"/>
    </sheetView>
  </sheetViews>
  <sheetFormatPr defaultRowHeight="15" x14ac:dyDescent="0.25"/>
  <sheetData>
    <row r="1" spans="1:12" x14ac:dyDescent="0.25">
      <c r="A1" t="s">
        <v>16</v>
      </c>
    </row>
    <row r="2" spans="1:12" x14ac:dyDescent="0.25">
      <c r="A2" s="22"/>
      <c r="B2" s="70" t="s">
        <v>12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15.75" thickBot="1" x14ac:dyDescent="0.3">
      <c r="A3" s="24" t="s">
        <v>11</v>
      </c>
      <c r="B3" s="25">
        <v>0</v>
      </c>
      <c r="C3" s="26">
        <v>0.5</v>
      </c>
      <c r="D3" s="26">
        <v>1</v>
      </c>
      <c r="E3" s="26">
        <v>1.5</v>
      </c>
      <c r="F3" s="26">
        <v>2</v>
      </c>
      <c r="G3" s="26">
        <v>2.5</v>
      </c>
      <c r="H3" s="26">
        <v>3</v>
      </c>
      <c r="I3" s="26">
        <v>3.5</v>
      </c>
      <c r="J3" s="26">
        <v>4</v>
      </c>
      <c r="K3" s="26">
        <v>4.5</v>
      </c>
      <c r="L3" s="27">
        <v>5</v>
      </c>
    </row>
    <row r="4" spans="1:12" x14ac:dyDescent="0.25">
      <c r="A4" s="28">
        <v>20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</row>
    <row r="5" spans="1:12" x14ac:dyDescent="0.25">
      <c r="A5" s="29">
        <v>50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</row>
    <row r="6" spans="1:12" x14ac:dyDescent="0.25">
      <c r="A6" s="29">
        <v>100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</row>
    <row r="7" spans="1:12" x14ac:dyDescent="0.25">
      <c r="A7" s="29">
        <v>150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</row>
    <row r="8" spans="1:12" x14ac:dyDescent="0.25">
      <c r="A8" s="29">
        <v>200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</row>
    <row r="9" spans="1:12" x14ac:dyDescent="0.25">
      <c r="A9" s="29">
        <v>250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</row>
    <row r="10" spans="1:12" x14ac:dyDescent="0.25">
      <c r="A10" s="29">
        <v>300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</row>
    <row r="11" spans="1:12" x14ac:dyDescent="0.25">
      <c r="A11" s="30">
        <v>350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</row>
  </sheetData>
  <mergeCells count="1">
    <mergeCell ref="B2:L2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>
      <selection activeCell="E15" sqref="E15"/>
    </sheetView>
  </sheetViews>
  <sheetFormatPr defaultColWidth="8.85546875" defaultRowHeight="15" x14ac:dyDescent="0.25"/>
  <cols>
    <col min="1" max="15" width="8.85546875" style="2"/>
    <col min="16" max="16" width="12.7109375" style="2" customWidth="1"/>
    <col min="17" max="16384" width="8.85546875" style="2"/>
  </cols>
  <sheetData>
    <row r="1" spans="1:15" ht="15.75" thickBot="1" x14ac:dyDescent="0.3">
      <c r="A1" s="8" t="s">
        <v>7</v>
      </c>
      <c r="B1" s="71" t="s">
        <v>5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ht="15.75" thickBot="1" x14ac:dyDescent="0.3">
      <c r="A2" s="9" t="s">
        <v>0</v>
      </c>
      <c r="B2" s="10">
        <v>100000000</v>
      </c>
      <c r="C2" s="10">
        <v>200000000</v>
      </c>
      <c r="D2" s="10">
        <v>300000000</v>
      </c>
      <c r="E2" s="10">
        <v>400000000</v>
      </c>
      <c r="F2" s="10">
        <v>500000000</v>
      </c>
      <c r="G2" s="10">
        <v>600000000</v>
      </c>
      <c r="H2" s="10">
        <v>700000000</v>
      </c>
      <c r="I2" s="10">
        <v>800000000</v>
      </c>
      <c r="J2" s="10">
        <v>900000000</v>
      </c>
      <c r="K2" s="10">
        <v>1000000000</v>
      </c>
      <c r="L2" s="10">
        <v>1100000000</v>
      </c>
      <c r="M2" s="10">
        <v>1200000000</v>
      </c>
      <c r="N2" s="10">
        <v>1300000000</v>
      </c>
      <c r="O2" s="10">
        <v>1400000000</v>
      </c>
    </row>
    <row r="3" spans="1:15" x14ac:dyDescent="0.25">
      <c r="A3" s="11">
        <v>20</v>
      </c>
      <c r="B3" s="48">
        <v>1.04</v>
      </c>
      <c r="C3" s="48">
        <v>1.1200000000000001</v>
      </c>
      <c r="D3" s="48">
        <v>1.21</v>
      </c>
      <c r="E3" s="48">
        <v>1.3</v>
      </c>
      <c r="F3" s="48">
        <v>1.39</v>
      </c>
      <c r="G3" s="48">
        <v>1.47</v>
      </c>
      <c r="H3" s="48">
        <v>1.55</v>
      </c>
      <c r="I3" s="48">
        <v>1.62</v>
      </c>
      <c r="J3" s="48">
        <v>1.7</v>
      </c>
      <c r="K3" s="48">
        <v>1.77</v>
      </c>
      <c r="L3" s="48">
        <v>1.83</v>
      </c>
      <c r="M3" s="48">
        <v>1.9</v>
      </c>
      <c r="N3" s="48">
        <v>1.96</v>
      </c>
      <c r="O3" s="48">
        <v>2.02</v>
      </c>
    </row>
    <row r="4" spans="1:15" ht="15.75" thickBot="1" x14ac:dyDescent="0.3">
      <c r="A4" s="12">
        <v>300</v>
      </c>
      <c r="B4" s="48">
        <v>1.02</v>
      </c>
      <c r="C4" s="48">
        <v>1.0900000000000001</v>
      </c>
      <c r="D4" s="48">
        <v>1.19</v>
      </c>
      <c r="E4" s="48">
        <v>1.28</v>
      </c>
      <c r="F4" s="48">
        <v>1.38</v>
      </c>
      <c r="G4" s="48">
        <v>1.47</v>
      </c>
      <c r="H4" s="48">
        <v>1.56</v>
      </c>
      <c r="I4" s="48">
        <v>1.65</v>
      </c>
      <c r="J4" s="48">
        <v>1.73</v>
      </c>
      <c r="K4" s="48">
        <v>1.81</v>
      </c>
      <c r="L4" s="48">
        <v>1.89</v>
      </c>
      <c r="M4" s="48">
        <v>1.97</v>
      </c>
      <c r="N4" s="48">
        <v>2.04</v>
      </c>
      <c r="O4" s="48">
        <v>2.11</v>
      </c>
    </row>
    <row r="5" spans="1:15" ht="15.75" thickBot="1" x14ac:dyDescent="0.3">
      <c r="A5" s="12">
        <v>350</v>
      </c>
      <c r="B5" s="48">
        <v>1.02</v>
      </c>
      <c r="C5" s="48">
        <v>1.0900000000000001</v>
      </c>
      <c r="D5" s="48">
        <v>1.18</v>
      </c>
      <c r="E5" s="48">
        <v>1.28</v>
      </c>
      <c r="F5" s="48">
        <v>1.37</v>
      </c>
      <c r="G5" s="48">
        <v>1.47</v>
      </c>
      <c r="H5" s="48">
        <v>1.56</v>
      </c>
      <c r="I5" s="48">
        <v>1.64</v>
      </c>
      <c r="J5" s="48">
        <v>1.73</v>
      </c>
      <c r="K5" s="48">
        <v>1.81</v>
      </c>
      <c r="L5" s="48">
        <v>1.88</v>
      </c>
      <c r="M5" s="48">
        <v>1.96</v>
      </c>
      <c r="N5" s="48">
        <v>2.0299999999999998</v>
      </c>
      <c r="O5" s="48">
        <v>2.1</v>
      </c>
    </row>
    <row r="6" spans="1:15" ht="15.75" thickBot="1" x14ac:dyDescent="0.3">
      <c r="A6" s="12">
        <v>400</v>
      </c>
      <c r="B6" s="48">
        <v>1.02</v>
      </c>
      <c r="C6" s="48">
        <v>1.0900000000000001</v>
      </c>
      <c r="D6" s="48">
        <v>1.18</v>
      </c>
      <c r="E6" s="48">
        <v>1.27</v>
      </c>
      <c r="F6" s="48">
        <v>1.37</v>
      </c>
      <c r="G6" s="48">
        <v>1.46</v>
      </c>
      <c r="H6" s="48">
        <v>1.55</v>
      </c>
      <c r="I6" s="48">
        <v>1.64</v>
      </c>
      <c r="J6" s="48">
        <v>1.72</v>
      </c>
      <c r="K6" s="48">
        <v>1.8</v>
      </c>
      <c r="L6" s="48">
        <v>1.87</v>
      </c>
      <c r="M6" s="48">
        <v>1.95</v>
      </c>
      <c r="N6" s="48">
        <v>2.02</v>
      </c>
      <c r="O6" s="48">
        <v>2.09</v>
      </c>
    </row>
    <row r="7" spans="1:15" ht="15.75" thickBot="1" x14ac:dyDescent="0.3">
      <c r="A7" s="12">
        <v>450</v>
      </c>
      <c r="B7" s="48">
        <v>1.02</v>
      </c>
      <c r="C7" s="48">
        <v>1.0900000000000001</v>
      </c>
      <c r="D7" s="48">
        <v>1.18</v>
      </c>
      <c r="E7" s="48">
        <v>1.27</v>
      </c>
      <c r="F7" s="48">
        <v>1.36</v>
      </c>
      <c r="G7" s="48">
        <v>1.45</v>
      </c>
      <c r="H7" s="48">
        <v>1.54</v>
      </c>
      <c r="I7" s="48">
        <v>1.63</v>
      </c>
      <c r="J7" s="48">
        <v>1.71</v>
      </c>
      <c r="K7" s="48">
        <v>1.79</v>
      </c>
      <c r="L7" s="48">
        <v>1.86</v>
      </c>
      <c r="M7" s="48">
        <v>1.94</v>
      </c>
      <c r="N7" s="48">
        <v>2.0099999999999998</v>
      </c>
      <c r="O7" s="48">
        <v>2.08</v>
      </c>
    </row>
    <row r="8" spans="1:15" ht="15.75" thickBot="1" x14ac:dyDescent="0.3">
      <c r="A8" s="12">
        <v>500</v>
      </c>
      <c r="B8" s="48">
        <v>1.02</v>
      </c>
      <c r="C8" s="48">
        <v>1.0900000000000001</v>
      </c>
      <c r="D8" s="48">
        <v>1.17</v>
      </c>
      <c r="E8" s="48">
        <v>1.27</v>
      </c>
      <c r="F8" s="48">
        <v>1.36</v>
      </c>
      <c r="G8" s="48">
        <v>1.45</v>
      </c>
      <c r="H8" s="48">
        <v>1.54</v>
      </c>
      <c r="I8" s="48">
        <v>1.62</v>
      </c>
      <c r="J8" s="48">
        <v>1.7</v>
      </c>
      <c r="K8" s="48">
        <v>1.78</v>
      </c>
      <c r="L8" s="48">
        <v>1.85</v>
      </c>
      <c r="M8" s="48">
        <v>1.93</v>
      </c>
      <c r="N8" s="48">
        <v>2</v>
      </c>
      <c r="O8" s="48">
        <v>2.0699999999999998</v>
      </c>
    </row>
    <row r="9" spans="1:15" ht="15.75" thickBot="1" x14ac:dyDescent="0.3">
      <c r="A9" s="12">
        <v>550</v>
      </c>
      <c r="B9" s="48">
        <v>1.02</v>
      </c>
      <c r="C9" s="48">
        <v>1.08</v>
      </c>
      <c r="D9" s="48">
        <v>1.17</v>
      </c>
      <c r="E9" s="48">
        <v>1.26</v>
      </c>
      <c r="F9" s="48">
        <v>1.35</v>
      </c>
      <c r="G9" s="48">
        <v>1.44</v>
      </c>
      <c r="H9" s="48">
        <v>1.53</v>
      </c>
      <c r="I9" s="48">
        <v>1.61</v>
      </c>
      <c r="J9" s="48">
        <v>1.69</v>
      </c>
      <c r="K9" s="48">
        <v>1.77</v>
      </c>
      <c r="L9" s="48">
        <v>1.84</v>
      </c>
      <c r="M9" s="48">
        <v>1.92</v>
      </c>
      <c r="N9" s="48">
        <v>1.99</v>
      </c>
      <c r="O9" s="48">
        <v>2.06</v>
      </c>
    </row>
    <row r="10" spans="1:15" ht="15.75" thickBot="1" x14ac:dyDescent="0.3">
      <c r="A10" s="12">
        <v>600</v>
      </c>
      <c r="B10" s="48">
        <v>1.01</v>
      </c>
      <c r="C10" s="48">
        <v>1.04</v>
      </c>
      <c r="D10" s="48">
        <v>1.1000000000000001</v>
      </c>
      <c r="E10" s="48">
        <v>1.19</v>
      </c>
      <c r="F10" s="48">
        <v>1.28</v>
      </c>
      <c r="G10" s="48">
        <v>1.38</v>
      </c>
      <c r="H10" s="48">
        <v>1.48</v>
      </c>
      <c r="I10" s="48">
        <v>1.57</v>
      </c>
      <c r="J10" s="48">
        <v>1.69</v>
      </c>
      <c r="K10" s="48">
        <v>1.75</v>
      </c>
      <c r="L10" s="48">
        <v>1.84</v>
      </c>
      <c r="M10" s="48">
        <v>1.92</v>
      </c>
      <c r="N10" s="48">
        <v>2.0099999999999998</v>
      </c>
      <c r="O10" s="48">
        <v>2.09</v>
      </c>
    </row>
  </sheetData>
  <mergeCells count="1">
    <mergeCell ref="B1:O1"/>
  </mergeCell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J26" sqref="J26"/>
    </sheetView>
  </sheetViews>
  <sheetFormatPr defaultColWidth="8.85546875" defaultRowHeight="15" x14ac:dyDescent="0.25"/>
  <cols>
    <col min="1" max="2" width="12.28515625" style="2" customWidth="1"/>
    <col min="3" max="16384" width="8.85546875" style="2"/>
  </cols>
  <sheetData>
    <row r="1" spans="1:3" ht="15.75" thickBot="1" x14ac:dyDescent="0.3">
      <c r="A1" s="13" t="s">
        <v>0</v>
      </c>
      <c r="B1" s="14" t="s">
        <v>8</v>
      </c>
      <c r="C1" s="14" t="s">
        <v>9</v>
      </c>
    </row>
    <row r="2" spans="1:3" ht="15.75" thickBot="1" x14ac:dyDescent="0.3">
      <c r="A2" s="15">
        <v>20</v>
      </c>
      <c r="B2" s="15">
        <v>711900000</v>
      </c>
      <c r="C2" s="15">
        <v>0.35099999999999998</v>
      </c>
    </row>
    <row r="3" spans="1:3" ht="15.75" thickBot="1" x14ac:dyDescent="0.3">
      <c r="A3" s="45">
        <v>450</v>
      </c>
      <c r="B3" s="15">
        <v>638700000</v>
      </c>
      <c r="C3" s="15">
        <v>0.31</v>
      </c>
    </row>
    <row r="4" spans="1:3" ht="15.75" thickBot="1" x14ac:dyDescent="0.3">
      <c r="A4" s="46">
        <v>550</v>
      </c>
      <c r="B4" s="15">
        <v>638700000</v>
      </c>
      <c r="C4" s="15">
        <v>0.31</v>
      </c>
    </row>
    <row r="5" spans="1:3" ht="15.75" thickBot="1" x14ac:dyDescent="0.3">
      <c r="A5" s="47">
        <v>600</v>
      </c>
      <c r="B5" s="15">
        <v>628200000</v>
      </c>
      <c r="C5" s="15">
        <v>0.248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"/>
  <sheetViews>
    <sheetView workbookViewId="0">
      <selection activeCell="J19" sqref="J19"/>
    </sheetView>
  </sheetViews>
  <sheetFormatPr defaultColWidth="8.85546875" defaultRowHeight="15" x14ac:dyDescent="0.25"/>
  <cols>
    <col min="1" max="16384" width="8.85546875" style="2"/>
  </cols>
  <sheetData>
    <row r="1" spans="1:16" ht="15.75" thickBot="1" x14ac:dyDescent="0.3">
      <c r="A1" s="8" t="s">
        <v>6</v>
      </c>
      <c r="B1" s="73" t="s">
        <v>5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6" ht="15.75" thickBot="1" x14ac:dyDescent="0.3">
      <c r="A2" s="9" t="s">
        <v>0</v>
      </c>
      <c r="B2" s="10">
        <v>100000000</v>
      </c>
      <c r="C2" s="10">
        <v>200000000</v>
      </c>
      <c r="D2" s="10">
        <v>300000000</v>
      </c>
      <c r="E2" s="10">
        <v>400000000</v>
      </c>
      <c r="F2" s="10">
        <v>500000000</v>
      </c>
      <c r="G2" s="10">
        <v>600000000</v>
      </c>
      <c r="H2" s="10">
        <v>700000000</v>
      </c>
      <c r="I2" s="10">
        <v>800000000</v>
      </c>
      <c r="J2" s="10">
        <v>900000000</v>
      </c>
      <c r="K2" s="10">
        <v>1000000000</v>
      </c>
      <c r="L2" s="10">
        <v>1100000000</v>
      </c>
      <c r="M2" s="10">
        <v>1200000000</v>
      </c>
      <c r="N2" s="10">
        <v>1300000000</v>
      </c>
      <c r="O2" s="10">
        <v>1400000000</v>
      </c>
      <c r="P2" s="50"/>
    </row>
    <row r="3" spans="1:16" x14ac:dyDescent="0.25">
      <c r="A3" s="11">
        <v>20</v>
      </c>
      <c r="B3" s="48">
        <v>1.03</v>
      </c>
      <c r="C3" s="48">
        <v>1.08</v>
      </c>
      <c r="D3" s="48">
        <v>1.1299999999999999</v>
      </c>
      <c r="E3" s="48">
        <v>1.17</v>
      </c>
      <c r="F3" s="48">
        <v>1.2</v>
      </c>
      <c r="G3" s="48">
        <v>1.23</v>
      </c>
      <c r="H3" s="48">
        <v>1.26</v>
      </c>
      <c r="I3" s="48">
        <v>1.28</v>
      </c>
      <c r="J3" s="48">
        <v>1.3</v>
      </c>
      <c r="K3" s="48">
        <v>1.31</v>
      </c>
      <c r="L3" s="48">
        <v>1.32</v>
      </c>
      <c r="M3" s="48">
        <v>1.34</v>
      </c>
      <c r="N3" s="48">
        <v>1.35</v>
      </c>
      <c r="O3" s="48">
        <v>1.36</v>
      </c>
      <c r="P3" s="49"/>
    </row>
    <row r="4" spans="1:16" ht="15.75" thickBot="1" x14ac:dyDescent="0.3">
      <c r="A4" s="12">
        <v>300</v>
      </c>
      <c r="B4" s="48">
        <v>1.02</v>
      </c>
      <c r="C4" s="48">
        <v>1.06</v>
      </c>
      <c r="D4" s="48">
        <v>1.1200000000000001</v>
      </c>
      <c r="E4" s="48">
        <v>1.1599999999999999</v>
      </c>
      <c r="F4" s="48">
        <v>1.2</v>
      </c>
      <c r="G4" s="48">
        <v>1.23</v>
      </c>
      <c r="H4" s="48">
        <v>1.26</v>
      </c>
      <c r="I4" s="48">
        <v>1.28</v>
      </c>
      <c r="J4" s="48">
        <v>1.3</v>
      </c>
      <c r="K4" s="48">
        <v>1.32</v>
      </c>
      <c r="L4" s="48">
        <v>1.33</v>
      </c>
      <c r="M4" s="48">
        <v>1.35</v>
      </c>
      <c r="N4" s="48">
        <v>1.36</v>
      </c>
      <c r="O4" s="48">
        <v>1.37</v>
      </c>
      <c r="P4" s="49"/>
    </row>
    <row r="5" spans="1:16" ht="15.75" thickBot="1" x14ac:dyDescent="0.3">
      <c r="A5" s="12">
        <v>350</v>
      </c>
      <c r="B5" s="48">
        <v>1.02</v>
      </c>
      <c r="C5" s="48">
        <v>1.06</v>
      </c>
      <c r="D5" s="48">
        <v>1.1100000000000001</v>
      </c>
      <c r="E5" s="48">
        <v>1.1599999999999999</v>
      </c>
      <c r="F5" s="48">
        <v>1.2</v>
      </c>
      <c r="G5" s="48">
        <v>1.23</v>
      </c>
      <c r="H5" s="48">
        <v>1.26</v>
      </c>
      <c r="I5" s="48">
        <v>1.28</v>
      </c>
      <c r="J5" s="48">
        <v>1.3</v>
      </c>
      <c r="K5" s="48">
        <v>1.32</v>
      </c>
      <c r="L5" s="48">
        <v>1.33</v>
      </c>
      <c r="M5" s="48">
        <v>1.34</v>
      </c>
      <c r="N5" s="48">
        <v>1.36</v>
      </c>
      <c r="O5" s="48">
        <v>1.37</v>
      </c>
    </row>
    <row r="6" spans="1:16" ht="15.75" thickBot="1" x14ac:dyDescent="0.3">
      <c r="A6" s="12">
        <v>400</v>
      </c>
      <c r="B6" s="48">
        <v>1.02</v>
      </c>
      <c r="C6" s="48">
        <v>1.06</v>
      </c>
      <c r="D6" s="48">
        <v>1.1100000000000001</v>
      </c>
      <c r="E6" s="48">
        <v>1.1599999999999999</v>
      </c>
      <c r="F6" s="48">
        <v>1.2</v>
      </c>
      <c r="G6" s="48">
        <v>1.23</v>
      </c>
      <c r="H6" s="48">
        <v>1.25</v>
      </c>
      <c r="I6" s="48">
        <v>1.28</v>
      </c>
      <c r="J6" s="48">
        <v>1.3</v>
      </c>
      <c r="K6" s="48">
        <v>1.31</v>
      </c>
      <c r="L6" s="48">
        <v>1.33</v>
      </c>
      <c r="M6" s="48">
        <v>1.34</v>
      </c>
      <c r="N6" s="48">
        <v>1.35</v>
      </c>
      <c r="O6" s="48">
        <v>1.36</v>
      </c>
    </row>
    <row r="7" spans="1:16" ht="15.75" thickBot="1" x14ac:dyDescent="0.3">
      <c r="A7" s="12">
        <v>450</v>
      </c>
      <c r="B7" s="48">
        <v>1.02</v>
      </c>
      <c r="C7" s="48">
        <v>1.06</v>
      </c>
      <c r="D7" s="48">
        <v>1.1100000000000001</v>
      </c>
      <c r="E7" s="48">
        <v>1.1599999999999999</v>
      </c>
      <c r="F7" s="48">
        <v>1.19</v>
      </c>
      <c r="G7" s="48">
        <v>1.23</v>
      </c>
      <c r="H7" s="48">
        <v>1.25</v>
      </c>
      <c r="I7" s="48">
        <v>1.27</v>
      </c>
      <c r="J7" s="48">
        <v>1.29</v>
      </c>
      <c r="K7" s="48">
        <v>1.31</v>
      </c>
      <c r="L7" s="48">
        <v>1.33</v>
      </c>
      <c r="M7" s="48">
        <v>1.34</v>
      </c>
      <c r="N7" s="48">
        <v>1.35</v>
      </c>
      <c r="O7" s="48">
        <v>1.36</v>
      </c>
    </row>
    <row r="8" spans="1:16" ht="15.75" thickBot="1" x14ac:dyDescent="0.3">
      <c r="A8" s="12">
        <v>500</v>
      </c>
      <c r="B8" s="48">
        <v>1.02</v>
      </c>
      <c r="C8" s="48">
        <v>1.06</v>
      </c>
      <c r="D8" s="48">
        <v>1.1100000000000001</v>
      </c>
      <c r="E8" s="48">
        <v>1.1499999999999999</v>
      </c>
      <c r="F8" s="48">
        <v>1.19</v>
      </c>
      <c r="G8" s="48">
        <v>1.22</v>
      </c>
      <c r="H8" s="48">
        <v>1.25</v>
      </c>
      <c r="I8" s="48">
        <v>1.27</v>
      </c>
      <c r="J8" s="48">
        <v>1.29</v>
      </c>
      <c r="K8" s="48">
        <v>1.31</v>
      </c>
      <c r="L8" s="48">
        <v>1.33</v>
      </c>
      <c r="M8" s="48">
        <v>1.34</v>
      </c>
      <c r="N8" s="48">
        <v>1.35</v>
      </c>
      <c r="O8" s="48">
        <v>1.36</v>
      </c>
    </row>
    <row r="9" spans="1:16" ht="15.75" thickBot="1" x14ac:dyDescent="0.3">
      <c r="A9" s="12">
        <v>550</v>
      </c>
      <c r="B9" s="48">
        <v>1.02</v>
      </c>
      <c r="C9" s="48">
        <v>1.06</v>
      </c>
      <c r="D9" s="48">
        <v>1.1100000000000001</v>
      </c>
      <c r="E9" s="48">
        <v>1.1499999999999999</v>
      </c>
      <c r="F9" s="48">
        <v>1.19</v>
      </c>
      <c r="G9" s="48">
        <v>1.22</v>
      </c>
      <c r="H9" s="48">
        <v>1.25</v>
      </c>
      <c r="I9" s="48">
        <v>1.27</v>
      </c>
      <c r="J9" s="48">
        <v>1.29</v>
      </c>
      <c r="K9" s="48">
        <v>1.31</v>
      </c>
      <c r="L9" s="48">
        <v>1.32</v>
      </c>
      <c r="M9" s="48">
        <v>1.34</v>
      </c>
      <c r="N9" s="48">
        <v>1.35</v>
      </c>
      <c r="O9" s="48">
        <v>1.36</v>
      </c>
    </row>
    <row r="10" spans="1:16" ht="15.75" thickBot="1" x14ac:dyDescent="0.3">
      <c r="A10" s="12">
        <v>600</v>
      </c>
      <c r="B10" s="48">
        <v>1</v>
      </c>
      <c r="C10" s="48">
        <v>1.03</v>
      </c>
      <c r="D10" s="48">
        <v>1.07</v>
      </c>
      <c r="E10" s="48">
        <v>1.1200000000000001</v>
      </c>
      <c r="F10" s="48">
        <v>1.1599999999999999</v>
      </c>
      <c r="G10" s="48">
        <v>1.2</v>
      </c>
      <c r="H10" s="48">
        <v>1.23</v>
      </c>
      <c r="I10" s="48">
        <v>1.25</v>
      </c>
      <c r="J10" s="48">
        <v>1.28</v>
      </c>
      <c r="K10" s="48">
        <v>1.3</v>
      </c>
      <c r="L10" s="48">
        <v>1.32</v>
      </c>
      <c r="M10" s="48">
        <v>1.33</v>
      </c>
      <c r="N10" s="48">
        <v>1.35</v>
      </c>
      <c r="O10" s="48">
        <v>1.36</v>
      </c>
    </row>
  </sheetData>
  <mergeCells count="1">
    <mergeCell ref="B1:O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K19" sqref="K19"/>
    </sheetView>
  </sheetViews>
  <sheetFormatPr defaultColWidth="8.85546875" defaultRowHeight="15" x14ac:dyDescent="0.25"/>
  <cols>
    <col min="1" max="1" width="13.5703125" style="1" customWidth="1"/>
    <col min="2" max="16384" width="8.85546875" style="1"/>
  </cols>
  <sheetData>
    <row r="1" spans="1:1" x14ac:dyDescent="0.25">
      <c r="A1" s="21" t="s">
        <v>10</v>
      </c>
    </row>
    <row r="2" spans="1:1" x14ac:dyDescent="0.25">
      <c r="A2" s="1">
        <v>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7EE5B3-CA3A-44CD-80C5-8CCC5C6F8DB9}"/>
</file>

<file path=customXml/itemProps2.xml><?xml version="1.0" encoding="utf-8"?>
<ds:datastoreItem xmlns:ds="http://schemas.openxmlformats.org/officeDocument/2006/customXml" ds:itemID="{A1EB181C-B032-4B55-8488-B934A42A52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4C9385-3AC8-47DE-AFE0-2EB8CD8856F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Young Modulus</vt:lpstr>
      <vt:lpstr>Fatigue Curves</vt:lpstr>
      <vt:lpstr>Sm</vt:lpstr>
      <vt:lpstr>Monotonic stress-strain</vt:lpstr>
      <vt:lpstr>Keff_rec</vt:lpstr>
      <vt:lpstr>Sd_nopeak</vt:lpstr>
      <vt:lpstr>Sy_min</vt:lpstr>
      <vt:lpstr>Sy_moy</vt:lpstr>
      <vt:lpstr>Su_min</vt:lpstr>
      <vt:lpstr>Sd</vt:lpstr>
      <vt:lpstr>Se</vt:lpstr>
      <vt:lpstr>Keps</vt:lpstr>
      <vt:lpstr>K-m</vt:lpstr>
      <vt:lpstr>Kmu</vt:lpstr>
      <vt:lpstr>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Falco</cp:lastModifiedBy>
  <dcterms:created xsi:type="dcterms:W3CDTF">2020-03-06T09:01:04Z</dcterms:created>
  <dcterms:modified xsi:type="dcterms:W3CDTF">2024-08-07T16:01:49Z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