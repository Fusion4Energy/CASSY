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examples/paths/Configurations/"/>
    </mc:Choice>
  </mc:AlternateContent>
  <xr:revisionPtr revIDLastSave="12" documentId="13_ncr:1_{EC0D2B3A-CB5F-4E42-93E5-98D1B1A7C3B8}" xr6:coauthVersionLast="47" xr6:coauthVersionMax="47" xr10:uidLastSave="{E0B3DEC1-F6CB-4499-A262-1827301D5624}"/>
  <bookViews>
    <workbookView xWindow="-57720" yWindow="1725" windowWidth="29040" windowHeight="15840" activeTab="5" xr2:uid="{965B20F1-7200-40DE-A3A2-B17540D6DFAA}"/>
  </bookViews>
  <sheets>
    <sheet name="Reference Event Fatigue" sheetId="1" r:id="rId1"/>
    <sheet name="Reference Event" sheetId="2" r:id="rId2"/>
    <sheet name="Stresses" sheetId="3" r:id="rId3"/>
    <sheet name="Load Steps" sheetId="4" r:id="rId4"/>
    <sheet name="Paths" sheetId="5" r:id="rId5"/>
    <sheet name="Gener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1" i="3"/>
  <c r="E5" i="3"/>
  <c r="E6" i="3"/>
  <c r="E7" i="3"/>
</calcChain>
</file>

<file path=xl/sharedStrings.xml><?xml version="1.0" encoding="utf-8"?>
<sst xmlns="http://schemas.openxmlformats.org/spreadsheetml/2006/main" count="434" uniqueCount="89">
  <si>
    <t>Path N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</si>
  <si>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</si>
  <si>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</si>
  <si>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</si>
  <si>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</si>
  <si>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</si>
  <si>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</si>
  <si>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</si>
  <si>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N of cycles</t>
  </si>
  <si>
    <t>T [°C]</t>
  </si>
  <si>
    <t>DPA</t>
  </si>
  <si>
    <t>ThermalNO</t>
  </si>
  <si>
    <t>NO</t>
  </si>
  <si>
    <t>-</t>
  </si>
  <si>
    <t>I</t>
  </si>
  <si>
    <t>A</t>
  </si>
  <si>
    <t>II</t>
  </si>
  <si>
    <t>SL1</t>
  </si>
  <si>
    <t>SMHV</t>
  </si>
  <si>
    <t>III</t>
  </si>
  <si>
    <t>C</t>
  </si>
  <si>
    <t>SustainedLoads, ThermalNO</t>
  </si>
  <si>
    <t>SustainedLoads, ThermalNO, SL2 X, SL2 Y, SL2 Z</t>
  </si>
  <si>
    <t>SL2</t>
  </si>
  <si>
    <t>IV</t>
  </si>
  <si>
    <t>D</t>
  </si>
  <si>
    <t>Load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</si>
  <si>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</si>
  <si>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</si>
  <si>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</si>
  <si>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</si>
  <si>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</si>
  <si>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</si>
  <si>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</si>
  <si>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</si>
  <si>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Is Occasional</t>
  </si>
  <si>
    <t>MPa</t>
  </si>
  <si>
    <t>Q</t>
  </si>
  <si>
    <t>Volumetric</t>
  </si>
  <si>
    <t>True</t>
  </si>
  <si>
    <t>False</t>
  </si>
  <si>
    <t>ThermalBAK</t>
  </si>
  <si>
    <t>SustainedLoads</t>
  </si>
  <si>
    <t>P</t>
  </si>
  <si>
    <t>SL1 X</t>
  </si>
  <si>
    <t>Inertial</t>
  </si>
  <si>
    <t>srss</t>
  </si>
  <si>
    <t>SL1 Y</t>
  </si>
  <si>
    <t>SL1 Z</t>
  </si>
  <si>
    <t>SL2 X</t>
  </si>
  <si>
    <t>SL2 Y</t>
  </si>
  <si>
    <t>SL2 Z</t>
  </si>
  <si>
    <t>Analysis Name</t>
  </si>
  <si>
    <t>Time Step</t>
  </si>
  <si>
    <t>Type</t>
  </si>
  <si>
    <t>Material</t>
  </si>
  <si>
    <t>Welding-n</t>
  </si>
  <si>
    <t>Welding-f</t>
  </si>
  <si>
    <t>SS316L(N)-IG</t>
  </si>
  <si>
    <t>normal</t>
  </si>
  <si>
    <t>General Parameter</t>
  </si>
  <si>
    <t>Value</t>
  </si>
  <si>
    <t>Allowable Codes</t>
  </si>
  <si>
    <t>Design Code</t>
  </si>
  <si>
    <t>SDC-IC</t>
  </si>
  <si>
    <t>RCC-MR</t>
  </si>
  <si>
    <t>SMHV X</t>
  </si>
  <si>
    <t>SMHV Y</t>
  </si>
  <si>
    <t>SMHV Z</t>
  </si>
  <si>
    <t>RCC-MRx</t>
  </si>
  <si>
    <t>Thermal</t>
  </si>
  <si>
    <t>Sustained</t>
  </si>
  <si>
    <t>NOS-I.1</t>
  </si>
  <si>
    <t>SustainedLoads, ThermalNO, SL1 X, SL1 Y, SL1 Z</t>
  </si>
  <si>
    <t>NOS-II.1</t>
  </si>
  <si>
    <t>NOS-III.1</t>
  </si>
  <si>
    <t>SustainedLoads, ThermalNO, SMHV X, SMHV Y, SMHV Z</t>
  </si>
  <si>
    <t>NOS-IV.1</t>
  </si>
  <si>
    <t>BAK-I.1</t>
  </si>
  <si>
    <t>SustainedLoads, ThermalBAK</t>
  </si>
  <si>
    <t>SustainedLoads, ThermalBAK, SL1 X, SL1 Y, SL1 Z</t>
  </si>
  <si>
    <t>BAK-II.1</t>
  </si>
  <si>
    <t>BAK-III.1</t>
  </si>
  <si>
    <t>SustainedLoads, ThermalBAK, SMHV X, SMHV Y, SMHV Z</t>
  </si>
  <si>
    <t>BAK-IV.1</t>
  </si>
  <si>
    <t>SustainedLoads, ThermalBAK, SL2 X, SL2 Y, SL2 Z</t>
  </si>
  <si>
    <t>ThermalNO, SL1 X, SL1 Y, SL1 Z</t>
  </si>
  <si>
    <t>BAK</t>
  </si>
  <si>
    <t>ThermalBAK, SL1 X, SL1 Y, SL1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</si>
</sst>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846F-38D0-4AA7-9B0D-20D052E0D757}">
  <dimension ref="A1:K13"/>
  <sheetViews>
    <sheetView zoomScale="70" zoomScaleNormal="70" workbookViewId="0">
      <selection activeCell="C16" sqref="C16"/>
    </sheetView>
  </sheetViews>
  <sheetFormatPr defaultRowHeight="15" x14ac:dyDescent="0.25"/>
  <cols>
    <col min="1" max="2" width="35.28515625" customWidth="1"/>
    <col min="3" max="3" width="54.28515625" customWidth="1"/>
    <col min="4" max="11" width="35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1</v>
      </c>
      <c r="B2" t="s">
        <v>72</v>
      </c>
      <c r="C2" s="4" t="s">
        <v>11</v>
      </c>
      <c r="D2" s="3" t="s">
        <v>12</v>
      </c>
      <c r="E2" s="5" t="s">
        <v>13</v>
      </c>
      <c r="F2" s="5" t="s">
        <v>13</v>
      </c>
      <c r="G2" s="3" t="s">
        <v>14</v>
      </c>
      <c r="H2" s="3" t="s">
        <v>15</v>
      </c>
      <c r="I2" s="3">
        <v>30000</v>
      </c>
      <c r="J2" s="3">
        <v>35</v>
      </c>
      <c r="K2" s="3">
        <v>0</v>
      </c>
    </row>
    <row r="3" spans="1:11" x14ac:dyDescent="0.25">
      <c r="A3" s="3">
        <v>1</v>
      </c>
      <c r="B3" t="s">
        <v>74</v>
      </c>
      <c r="C3" s="6" t="s">
        <v>86</v>
      </c>
      <c r="D3" s="3" t="s">
        <v>12</v>
      </c>
      <c r="E3" s="5" t="s">
        <v>17</v>
      </c>
      <c r="F3" s="5" t="s">
        <v>13</v>
      </c>
      <c r="G3" s="3" t="s">
        <v>16</v>
      </c>
      <c r="H3" s="3" t="s">
        <v>15</v>
      </c>
      <c r="I3" s="3">
        <v>10</v>
      </c>
      <c r="J3" s="3">
        <v>35</v>
      </c>
      <c r="K3" s="3">
        <v>0</v>
      </c>
    </row>
    <row r="4" spans="1:11" x14ac:dyDescent="0.25">
      <c r="A4" s="3">
        <v>1</v>
      </c>
      <c r="B4" t="s">
        <v>78</v>
      </c>
      <c r="C4" s="4" t="s">
        <v>41</v>
      </c>
      <c r="D4" s="3" t="s">
        <v>87</v>
      </c>
      <c r="E4" s="5" t="s">
        <v>13</v>
      </c>
      <c r="F4" s="5" t="s">
        <v>13</v>
      </c>
      <c r="G4" s="3" t="s">
        <v>14</v>
      </c>
      <c r="H4" s="3" t="s">
        <v>15</v>
      </c>
      <c r="I4" s="3">
        <v>30000</v>
      </c>
      <c r="J4" s="3">
        <v>35</v>
      </c>
      <c r="K4" s="3">
        <v>0</v>
      </c>
    </row>
    <row r="5" spans="1:11" x14ac:dyDescent="0.25">
      <c r="A5" s="3">
        <v>1</v>
      </c>
      <c r="B5" t="s">
        <v>81</v>
      </c>
      <c r="C5" s="6" t="s">
        <v>88</v>
      </c>
      <c r="D5" s="3" t="s">
        <v>87</v>
      </c>
      <c r="E5" s="5" t="s">
        <v>17</v>
      </c>
      <c r="F5" s="5" t="s">
        <v>13</v>
      </c>
      <c r="G5" s="3" t="s">
        <v>16</v>
      </c>
      <c r="H5" s="3" t="s">
        <v>15</v>
      </c>
      <c r="I5" s="3">
        <v>10</v>
      </c>
      <c r="J5" s="3">
        <v>35</v>
      </c>
      <c r="K5" s="3">
        <v>0</v>
      </c>
    </row>
    <row r="6" spans="1:11" x14ac:dyDescent="0.25">
      <c r="A6" s="3">
        <v>2</v>
      </c>
      <c r="B6" t="s">
        <v>72</v>
      </c>
      <c r="C6" s="4" t="s">
        <v>11</v>
      </c>
      <c r="D6" s="3" t="s">
        <v>12</v>
      </c>
      <c r="E6" s="5" t="s">
        <v>13</v>
      </c>
      <c r="F6" s="5" t="s">
        <v>13</v>
      </c>
      <c r="G6" s="3" t="s">
        <v>14</v>
      </c>
      <c r="H6" s="3" t="s">
        <v>15</v>
      </c>
      <c r="I6" s="3">
        <v>30000</v>
      </c>
      <c r="J6" s="3">
        <v>35</v>
      </c>
    </row>
    <row r="7" spans="1:11" x14ac:dyDescent="0.25">
      <c r="A7" s="3">
        <v>2</v>
      </c>
      <c r="B7" t="s">
        <v>74</v>
      </c>
      <c r="C7" s="6" t="s">
        <v>86</v>
      </c>
      <c r="D7" s="3" t="s">
        <v>12</v>
      </c>
      <c r="E7" s="5" t="s">
        <v>17</v>
      </c>
      <c r="F7" s="5" t="s">
        <v>13</v>
      </c>
      <c r="G7" s="3" t="s">
        <v>16</v>
      </c>
      <c r="H7" s="3" t="s">
        <v>15</v>
      </c>
      <c r="I7" s="3">
        <v>10</v>
      </c>
      <c r="J7" s="3">
        <v>35</v>
      </c>
    </row>
    <row r="8" spans="1:11" x14ac:dyDescent="0.25">
      <c r="A8" s="3">
        <v>2</v>
      </c>
      <c r="B8" t="s">
        <v>78</v>
      </c>
      <c r="C8" s="4" t="s">
        <v>41</v>
      </c>
      <c r="D8" s="3" t="s">
        <v>87</v>
      </c>
      <c r="E8" s="5" t="s">
        <v>13</v>
      </c>
      <c r="F8" s="5" t="s">
        <v>13</v>
      </c>
      <c r="G8" s="3" t="s">
        <v>14</v>
      </c>
      <c r="H8" s="3" t="s">
        <v>15</v>
      </c>
      <c r="I8" s="3">
        <v>30000</v>
      </c>
      <c r="J8" s="3">
        <v>35</v>
      </c>
    </row>
    <row r="9" spans="1:11" x14ac:dyDescent="0.25">
      <c r="A9" s="3">
        <v>2</v>
      </c>
      <c r="B9" t="s">
        <v>81</v>
      </c>
      <c r="C9" s="6" t="s">
        <v>88</v>
      </c>
      <c r="D9" s="3" t="s">
        <v>87</v>
      </c>
      <c r="E9" s="5" t="s">
        <v>17</v>
      </c>
      <c r="F9" s="5" t="s">
        <v>13</v>
      </c>
      <c r="G9" s="3" t="s">
        <v>16</v>
      </c>
      <c r="H9" s="3" t="s">
        <v>15</v>
      </c>
      <c r="I9" s="3">
        <v>10</v>
      </c>
      <c r="J9" s="3">
        <v>35</v>
      </c>
    </row>
    <row r="10" spans="1:11" x14ac:dyDescent="0.25">
      <c r="A10" s="3">
        <v>3</v>
      </c>
      <c r="B10" t="s">
        <v>72</v>
      </c>
      <c r="C10" s="4" t="s">
        <v>11</v>
      </c>
      <c r="D10" s="3" t="s">
        <v>12</v>
      </c>
      <c r="E10" s="5" t="s">
        <v>13</v>
      </c>
      <c r="F10" s="5" t="s">
        <v>13</v>
      </c>
      <c r="G10" s="3" t="s">
        <v>14</v>
      </c>
      <c r="H10" s="3" t="s">
        <v>15</v>
      </c>
      <c r="I10" s="3">
        <v>30000</v>
      </c>
      <c r="J10" s="3">
        <v>35</v>
      </c>
    </row>
    <row r="11" spans="1:11" x14ac:dyDescent="0.25">
      <c r="A11" s="3">
        <v>3</v>
      </c>
      <c r="B11" t="s">
        <v>74</v>
      </c>
      <c r="C11" s="6" t="s">
        <v>86</v>
      </c>
      <c r="D11" s="3" t="s">
        <v>12</v>
      </c>
      <c r="E11" s="5" t="s">
        <v>17</v>
      </c>
      <c r="F11" s="5" t="s">
        <v>13</v>
      </c>
      <c r="G11" s="3" t="s">
        <v>16</v>
      </c>
      <c r="H11" s="3" t="s">
        <v>15</v>
      </c>
      <c r="I11" s="3">
        <v>10</v>
      </c>
      <c r="J11" s="3">
        <v>35</v>
      </c>
    </row>
    <row r="12" spans="1:11" x14ac:dyDescent="0.25">
      <c r="A12" s="3">
        <v>3</v>
      </c>
      <c r="B12" t="s">
        <v>78</v>
      </c>
      <c r="C12" s="4" t="s">
        <v>41</v>
      </c>
      <c r="D12" s="3" t="s">
        <v>87</v>
      </c>
      <c r="E12" s="5" t="s">
        <v>13</v>
      </c>
      <c r="F12" s="5" t="s">
        <v>13</v>
      </c>
      <c r="G12" s="3" t="s">
        <v>14</v>
      </c>
      <c r="H12" s="3" t="s">
        <v>15</v>
      </c>
      <c r="I12" s="3">
        <v>30000</v>
      </c>
      <c r="J12" s="3">
        <v>35</v>
      </c>
    </row>
    <row r="13" spans="1:11" x14ac:dyDescent="0.25">
      <c r="A13" s="3">
        <v>3</v>
      </c>
      <c r="B13" t="s">
        <v>81</v>
      </c>
      <c r="C13" s="6" t="s">
        <v>88</v>
      </c>
      <c r="D13" s="3" t="s">
        <v>87</v>
      </c>
      <c r="E13" s="5" t="s">
        <v>17</v>
      </c>
      <c r="F13" s="5" t="s">
        <v>13</v>
      </c>
      <c r="G13" s="3" t="s">
        <v>16</v>
      </c>
      <c r="H13" s="3" t="s">
        <v>15</v>
      </c>
      <c r="I13" s="3">
        <v>10</v>
      </c>
      <c r="J13" s="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33C9-1152-4B45-98D1-A21861515976}">
  <dimension ref="A1:J25"/>
  <sheetViews>
    <sheetView zoomScale="85" zoomScaleNormal="85" workbookViewId="0">
      <selection activeCell="A22" sqref="A22:XFD22"/>
    </sheetView>
  </sheetViews>
  <sheetFormatPr defaultRowHeight="15" x14ac:dyDescent="0.25"/>
  <cols>
    <col min="2" max="2" width="19.42578125" customWidth="1"/>
    <col min="3" max="3" width="69.85546875" customWidth="1"/>
    <col min="4" max="4" width="15.85546875" customWidth="1"/>
    <col min="5" max="5" width="18.7109375" customWidth="1"/>
    <col min="6" max="6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</row>
    <row r="2" spans="1:10" x14ac:dyDescent="0.25">
      <c r="A2">
        <v>1</v>
      </c>
      <c r="B2" t="s">
        <v>72</v>
      </c>
      <c r="C2" t="s">
        <v>21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>
        <v>35</v>
      </c>
      <c r="J2">
        <v>0</v>
      </c>
    </row>
    <row r="3" spans="1:10" x14ac:dyDescent="0.25">
      <c r="A3">
        <v>1</v>
      </c>
      <c r="B3" t="s">
        <v>74</v>
      </c>
      <c r="C3" t="s">
        <v>73</v>
      </c>
      <c r="D3" t="s">
        <v>12</v>
      </c>
      <c r="E3" t="s">
        <v>17</v>
      </c>
      <c r="F3" t="s">
        <v>13</v>
      </c>
      <c r="G3" t="s">
        <v>16</v>
      </c>
      <c r="H3" t="s">
        <v>15</v>
      </c>
      <c r="I3">
        <v>35</v>
      </c>
      <c r="J3">
        <v>0</v>
      </c>
    </row>
    <row r="4" spans="1:10" x14ac:dyDescent="0.25">
      <c r="A4">
        <v>1</v>
      </c>
      <c r="B4" t="s">
        <v>75</v>
      </c>
      <c r="C4" t="s">
        <v>76</v>
      </c>
      <c r="D4" t="s">
        <v>12</v>
      </c>
      <c r="E4" t="s">
        <v>18</v>
      </c>
      <c r="F4" t="s">
        <v>13</v>
      </c>
      <c r="G4" t="s">
        <v>19</v>
      </c>
      <c r="H4" t="s">
        <v>20</v>
      </c>
      <c r="I4">
        <v>35</v>
      </c>
      <c r="J4">
        <v>0</v>
      </c>
    </row>
    <row r="5" spans="1:10" x14ac:dyDescent="0.25">
      <c r="A5">
        <v>1</v>
      </c>
      <c r="B5" t="s">
        <v>77</v>
      </c>
      <c r="C5" t="s">
        <v>22</v>
      </c>
      <c r="D5" t="s">
        <v>12</v>
      </c>
      <c r="E5" t="s">
        <v>23</v>
      </c>
      <c r="F5" t="s">
        <v>13</v>
      </c>
      <c r="G5" t="s">
        <v>24</v>
      </c>
      <c r="H5" t="s">
        <v>25</v>
      </c>
      <c r="I5">
        <v>35</v>
      </c>
      <c r="J5">
        <v>0</v>
      </c>
    </row>
    <row r="6" spans="1:10" x14ac:dyDescent="0.25">
      <c r="A6">
        <v>1</v>
      </c>
      <c r="B6" t="s">
        <v>78</v>
      </c>
      <c r="C6" t="s">
        <v>79</v>
      </c>
      <c r="D6" t="s">
        <v>12</v>
      </c>
      <c r="E6" t="s">
        <v>13</v>
      </c>
      <c r="F6" t="s">
        <v>13</v>
      </c>
      <c r="G6" t="s">
        <v>14</v>
      </c>
      <c r="H6" t="s">
        <v>15</v>
      </c>
      <c r="I6">
        <v>35</v>
      </c>
      <c r="J6">
        <v>0</v>
      </c>
    </row>
    <row r="7" spans="1:10" x14ac:dyDescent="0.25">
      <c r="A7">
        <v>1</v>
      </c>
      <c r="B7" t="s">
        <v>81</v>
      </c>
      <c r="C7" t="s">
        <v>80</v>
      </c>
      <c r="D7" t="s">
        <v>12</v>
      </c>
      <c r="E7" t="s">
        <v>17</v>
      </c>
      <c r="F7" t="s">
        <v>13</v>
      </c>
      <c r="G7" t="s">
        <v>16</v>
      </c>
      <c r="H7" t="s">
        <v>15</v>
      </c>
      <c r="I7">
        <v>35</v>
      </c>
      <c r="J7">
        <v>0</v>
      </c>
    </row>
    <row r="8" spans="1:10" x14ac:dyDescent="0.25">
      <c r="A8">
        <v>1</v>
      </c>
      <c r="B8" t="s">
        <v>82</v>
      </c>
      <c r="C8" t="s">
        <v>83</v>
      </c>
      <c r="D8" t="s">
        <v>12</v>
      </c>
      <c r="E8" t="s">
        <v>18</v>
      </c>
      <c r="F8" t="s">
        <v>13</v>
      </c>
      <c r="G8" t="s">
        <v>19</v>
      </c>
      <c r="H8" t="s">
        <v>20</v>
      </c>
      <c r="I8">
        <v>35</v>
      </c>
      <c r="J8">
        <v>0</v>
      </c>
    </row>
    <row r="9" spans="1:10" x14ac:dyDescent="0.25">
      <c r="A9">
        <v>1</v>
      </c>
      <c r="B9" t="s">
        <v>84</v>
      </c>
      <c r="C9" t="s">
        <v>85</v>
      </c>
      <c r="D9" t="s">
        <v>12</v>
      </c>
      <c r="E9" t="s">
        <v>23</v>
      </c>
      <c r="F9" t="s">
        <v>13</v>
      </c>
      <c r="G9" t="s">
        <v>24</v>
      </c>
      <c r="H9" t="s">
        <v>25</v>
      </c>
      <c r="I9">
        <v>35</v>
      </c>
      <c r="J9">
        <v>0</v>
      </c>
    </row>
    <row r="10" spans="1:10" x14ac:dyDescent="0.25">
      <c r="A10">
        <v>2</v>
      </c>
      <c r="B10" t="s">
        <v>72</v>
      </c>
      <c r="C10" t="s">
        <v>21</v>
      </c>
      <c r="D10" t="s">
        <v>12</v>
      </c>
      <c r="E10" t="s">
        <v>13</v>
      </c>
      <c r="F10" t="s">
        <v>13</v>
      </c>
      <c r="G10" t="s">
        <v>14</v>
      </c>
      <c r="H10" t="s">
        <v>15</v>
      </c>
      <c r="I10">
        <v>35</v>
      </c>
      <c r="J10">
        <v>0</v>
      </c>
    </row>
    <row r="11" spans="1:10" x14ac:dyDescent="0.25">
      <c r="A11">
        <v>2</v>
      </c>
      <c r="B11" t="s">
        <v>74</v>
      </c>
      <c r="C11" t="s">
        <v>73</v>
      </c>
      <c r="D11" t="s">
        <v>12</v>
      </c>
      <c r="E11" t="s">
        <v>17</v>
      </c>
      <c r="F11" t="s">
        <v>13</v>
      </c>
      <c r="G11" t="s">
        <v>16</v>
      </c>
      <c r="H11" t="s">
        <v>15</v>
      </c>
      <c r="I11">
        <v>35</v>
      </c>
      <c r="J11">
        <v>0</v>
      </c>
    </row>
    <row r="12" spans="1:10" x14ac:dyDescent="0.25">
      <c r="A12">
        <v>2</v>
      </c>
      <c r="B12" t="s">
        <v>75</v>
      </c>
      <c r="C12" t="s">
        <v>76</v>
      </c>
      <c r="D12" t="s">
        <v>12</v>
      </c>
      <c r="E12" t="s">
        <v>18</v>
      </c>
      <c r="F12" t="s">
        <v>13</v>
      </c>
      <c r="G12" t="s">
        <v>19</v>
      </c>
      <c r="H12" t="s">
        <v>20</v>
      </c>
      <c r="I12">
        <v>35</v>
      </c>
      <c r="J12">
        <v>0</v>
      </c>
    </row>
    <row r="13" spans="1:10" x14ac:dyDescent="0.25">
      <c r="A13">
        <v>2</v>
      </c>
      <c r="B13" t="s">
        <v>77</v>
      </c>
      <c r="C13" t="s">
        <v>22</v>
      </c>
      <c r="D13" t="s">
        <v>12</v>
      </c>
      <c r="E13" t="s">
        <v>23</v>
      </c>
      <c r="F13" t="s">
        <v>13</v>
      </c>
      <c r="G13" t="s">
        <v>24</v>
      </c>
      <c r="H13" t="s">
        <v>25</v>
      </c>
      <c r="I13">
        <v>35</v>
      </c>
      <c r="J13">
        <v>0</v>
      </c>
    </row>
    <row r="14" spans="1:10" x14ac:dyDescent="0.25">
      <c r="A14">
        <v>2</v>
      </c>
      <c r="B14" t="s">
        <v>78</v>
      </c>
      <c r="C14" t="s">
        <v>79</v>
      </c>
      <c r="D14" t="s">
        <v>12</v>
      </c>
      <c r="E14" t="s">
        <v>13</v>
      </c>
      <c r="F14" t="s">
        <v>13</v>
      </c>
      <c r="G14" t="s">
        <v>14</v>
      </c>
      <c r="H14" t="s">
        <v>15</v>
      </c>
      <c r="I14">
        <v>35</v>
      </c>
      <c r="J14">
        <v>0</v>
      </c>
    </row>
    <row r="15" spans="1:10" x14ac:dyDescent="0.25">
      <c r="A15">
        <v>2</v>
      </c>
      <c r="B15" t="s">
        <v>81</v>
      </c>
      <c r="C15" t="s">
        <v>80</v>
      </c>
      <c r="D15" t="s">
        <v>12</v>
      </c>
      <c r="E15" t="s">
        <v>17</v>
      </c>
      <c r="F15" t="s">
        <v>13</v>
      </c>
      <c r="G15" t="s">
        <v>16</v>
      </c>
      <c r="H15" t="s">
        <v>15</v>
      </c>
      <c r="I15">
        <v>35</v>
      </c>
      <c r="J15">
        <v>0</v>
      </c>
    </row>
    <row r="16" spans="1:10" x14ac:dyDescent="0.25">
      <c r="A16">
        <v>2</v>
      </c>
      <c r="B16" t="s">
        <v>82</v>
      </c>
      <c r="C16" t="s">
        <v>83</v>
      </c>
      <c r="D16" t="s">
        <v>12</v>
      </c>
      <c r="E16" t="s">
        <v>18</v>
      </c>
      <c r="F16" t="s">
        <v>13</v>
      </c>
      <c r="G16" t="s">
        <v>19</v>
      </c>
      <c r="H16" t="s">
        <v>20</v>
      </c>
      <c r="I16">
        <v>35</v>
      </c>
      <c r="J16">
        <v>0</v>
      </c>
    </row>
    <row r="17" spans="1:10" x14ac:dyDescent="0.25">
      <c r="A17">
        <v>2</v>
      </c>
      <c r="B17" t="s">
        <v>84</v>
      </c>
      <c r="C17" t="s">
        <v>85</v>
      </c>
      <c r="D17" t="s">
        <v>12</v>
      </c>
      <c r="E17" t="s">
        <v>23</v>
      </c>
      <c r="F17" t="s">
        <v>13</v>
      </c>
      <c r="G17" t="s">
        <v>24</v>
      </c>
      <c r="H17" t="s">
        <v>25</v>
      </c>
      <c r="I17">
        <v>35</v>
      </c>
      <c r="J17">
        <v>0</v>
      </c>
    </row>
    <row r="18" spans="1:10" x14ac:dyDescent="0.25">
      <c r="A18">
        <v>3</v>
      </c>
      <c r="B18" t="s">
        <v>72</v>
      </c>
      <c r="C18" t="s">
        <v>21</v>
      </c>
      <c r="D18" t="s">
        <v>12</v>
      </c>
      <c r="E18" t="s">
        <v>13</v>
      </c>
      <c r="F18" t="s">
        <v>13</v>
      </c>
      <c r="G18" t="s">
        <v>14</v>
      </c>
      <c r="H18" t="s">
        <v>15</v>
      </c>
      <c r="I18">
        <v>35</v>
      </c>
      <c r="J18">
        <v>0</v>
      </c>
    </row>
    <row r="19" spans="1:10" x14ac:dyDescent="0.25">
      <c r="A19">
        <v>3</v>
      </c>
      <c r="B19" t="s">
        <v>74</v>
      </c>
      <c r="C19" t="s">
        <v>73</v>
      </c>
      <c r="D19" t="s">
        <v>12</v>
      </c>
      <c r="E19" t="s">
        <v>17</v>
      </c>
      <c r="F19" t="s">
        <v>13</v>
      </c>
      <c r="G19" t="s">
        <v>16</v>
      </c>
      <c r="H19" t="s">
        <v>15</v>
      </c>
      <c r="I19">
        <v>35</v>
      </c>
      <c r="J19">
        <v>0</v>
      </c>
    </row>
    <row r="20" spans="1:10" x14ac:dyDescent="0.25">
      <c r="A20">
        <v>3</v>
      </c>
      <c r="B20" t="s">
        <v>75</v>
      </c>
      <c r="C20" t="s">
        <v>76</v>
      </c>
      <c r="D20" t="s">
        <v>12</v>
      </c>
      <c r="E20" t="s">
        <v>18</v>
      </c>
      <c r="F20" t="s">
        <v>13</v>
      </c>
      <c r="G20" t="s">
        <v>19</v>
      </c>
      <c r="H20" t="s">
        <v>20</v>
      </c>
      <c r="I20">
        <v>35</v>
      </c>
      <c r="J20">
        <v>0</v>
      </c>
    </row>
    <row r="21" spans="1:10" x14ac:dyDescent="0.25">
      <c r="A21">
        <v>3</v>
      </c>
      <c r="B21" t="s">
        <v>77</v>
      </c>
      <c r="C21" t="s">
        <v>22</v>
      </c>
      <c r="D21" t="s">
        <v>12</v>
      </c>
      <c r="E21" t="s">
        <v>23</v>
      </c>
      <c r="F21" t="s">
        <v>13</v>
      </c>
      <c r="G21" t="s">
        <v>24</v>
      </c>
      <c r="H21" t="s">
        <v>25</v>
      </c>
      <c r="I21">
        <v>35</v>
      </c>
      <c r="J21">
        <v>0</v>
      </c>
    </row>
    <row r="22" spans="1:10" x14ac:dyDescent="0.25">
      <c r="A22">
        <v>3</v>
      </c>
      <c r="B22" t="s">
        <v>78</v>
      </c>
      <c r="C22" t="s">
        <v>79</v>
      </c>
      <c r="D22" t="s">
        <v>12</v>
      </c>
      <c r="E22" t="s">
        <v>13</v>
      </c>
      <c r="F22" t="s">
        <v>13</v>
      </c>
      <c r="G22" t="s">
        <v>14</v>
      </c>
      <c r="H22" t="s">
        <v>15</v>
      </c>
      <c r="I22">
        <v>35</v>
      </c>
      <c r="J22">
        <v>0</v>
      </c>
    </row>
    <row r="23" spans="1:10" x14ac:dyDescent="0.25">
      <c r="A23">
        <v>3</v>
      </c>
      <c r="B23" t="s">
        <v>81</v>
      </c>
      <c r="C23" t="s">
        <v>80</v>
      </c>
      <c r="D23" t="s">
        <v>12</v>
      </c>
      <c r="E23" t="s">
        <v>17</v>
      </c>
      <c r="F23" t="s">
        <v>13</v>
      </c>
      <c r="G23" t="s">
        <v>16</v>
      </c>
      <c r="H23" t="s">
        <v>15</v>
      </c>
      <c r="I23">
        <v>35</v>
      </c>
      <c r="J23">
        <v>0</v>
      </c>
    </row>
    <row r="24" spans="1:10" x14ac:dyDescent="0.25">
      <c r="A24">
        <v>3</v>
      </c>
      <c r="B24" t="s">
        <v>82</v>
      </c>
      <c r="C24" t="s">
        <v>83</v>
      </c>
      <c r="D24" t="s">
        <v>12</v>
      </c>
      <c r="E24" t="s">
        <v>18</v>
      </c>
      <c r="F24" t="s">
        <v>13</v>
      </c>
      <c r="G24" t="s">
        <v>19</v>
      </c>
      <c r="H24" t="s">
        <v>20</v>
      </c>
      <c r="I24">
        <v>35</v>
      </c>
      <c r="J24">
        <v>0</v>
      </c>
    </row>
    <row r="25" spans="1:10" x14ac:dyDescent="0.25">
      <c r="A25">
        <v>3</v>
      </c>
      <c r="B25" t="s">
        <v>84</v>
      </c>
      <c r="C25" t="s">
        <v>85</v>
      </c>
      <c r="D25" t="s">
        <v>12</v>
      </c>
      <c r="E25" t="s">
        <v>23</v>
      </c>
      <c r="F25" t="s">
        <v>13</v>
      </c>
      <c r="G25" t="s">
        <v>24</v>
      </c>
      <c r="H25" t="s">
        <v>25</v>
      </c>
      <c r="I25">
        <v>35</v>
      </c>
      <c r="J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5EF3-0F9C-4AFA-8960-B4FDAB2E8C50}">
  <dimension ref="A1:J13"/>
  <sheetViews>
    <sheetView zoomScaleNormal="100" workbookViewId="0">
      <selection activeCell="C17" sqref="C17"/>
    </sheetView>
  </sheetViews>
  <sheetFormatPr defaultRowHeight="15" x14ac:dyDescent="0.25"/>
  <cols>
    <col min="1" max="1" width="27.28515625" customWidth="1"/>
    <col min="3" max="3" width="17.5703125" customWidth="1"/>
    <col min="4" max="4" width="18.85546875" customWidth="1"/>
    <col min="6" max="6" width="21.140625" bestFit="1" customWidth="1"/>
    <col min="7" max="7" width="11.42578125" customWidth="1"/>
    <col min="8" max="8" width="27.7109375" customWidth="1"/>
    <col min="9" max="9" width="17.28515625" customWidth="1"/>
    <col min="10" max="10" width="18.140625" customWidth="1"/>
  </cols>
  <sheetData>
    <row r="1" spans="1:10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25">
      <c r="A2" t="s">
        <v>11</v>
      </c>
      <c r="B2" t="s">
        <v>36</v>
      </c>
      <c r="C2" t="s">
        <v>37</v>
      </c>
      <c r="D2" t="s">
        <v>38</v>
      </c>
      <c r="E2">
        <v>1</v>
      </c>
      <c r="G2" t="s">
        <v>39</v>
      </c>
      <c r="H2" t="s">
        <v>40</v>
      </c>
      <c r="I2" t="s">
        <v>40</v>
      </c>
      <c r="J2" t="s">
        <v>40</v>
      </c>
    </row>
    <row r="3" spans="1:10" x14ac:dyDescent="0.25">
      <c r="A3" t="s">
        <v>41</v>
      </c>
      <c r="B3" t="s">
        <v>36</v>
      </c>
      <c r="C3" t="s">
        <v>37</v>
      </c>
      <c r="D3" t="s">
        <v>38</v>
      </c>
      <c r="E3">
        <v>1</v>
      </c>
      <c r="G3" t="s">
        <v>39</v>
      </c>
      <c r="H3" t="s">
        <v>40</v>
      </c>
      <c r="I3" t="s">
        <v>40</v>
      </c>
      <c r="J3" t="s">
        <v>40</v>
      </c>
    </row>
    <row r="4" spans="1:10" x14ac:dyDescent="0.25">
      <c r="A4" t="s">
        <v>42</v>
      </c>
      <c r="B4" t="s">
        <v>36</v>
      </c>
      <c r="C4" t="s">
        <v>43</v>
      </c>
      <c r="D4" t="s">
        <v>38</v>
      </c>
      <c r="E4">
        <v>1</v>
      </c>
      <c r="G4" t="s">
        <v>40</v>
      </c>
      <c r="H4" t="s">
        <v>40</v>
      </c>
      <c r="I4" t="s">
        <v>39</v>
      </c>
      <c r="J4" t="s">
        <v>40</v>
      </c>
    </row>
    <row r="5" spans="1:10" x14ac:dyDescent="0.25">
      <c r="A5" t="s">
        <v>44</v>
      </c>
      <c r="B5" t="s">
        <v>36</v>
      </c>
      <c r="C5" t="s">
        <v>43</v>
      </c>
      <c r="D5" t="s">
        <v>45</v>
      </c>
      <c r="E5" s="8">
        <f t="shared" ref="E5:E6" si="0">+E8*0.33</f>
        <v>0.59400000000000008</v>
      </c>
      <c r="F5" t="s">
        <v>46</v>
      </c>
      <c r="G5" t="s">
        <v>39</v>
      </c>
      <c r="H5" t="s">
        <v>40</v>
      </c>
      <c r="I5" t="s">
        <v>40</v>
      </c>
      <c r="J5" t="s">
        <v>39</v>
      </c>
    </row>
    <row r="6" spans="1:10" x14ac:dyDescent="0.25">
      <c r="A6" t="s">
        <v>47</v>
      </c>
      <c r="B6" t="s">
        <v>36</v>
      </c>
      <c r="C6" t="s">
        <v>43</v>
      </c>
      <c r="D6" t="s">
        <v>45</v>
      </c>
      <c r="E6" s="8">
        <f t="shared" si="0"/>
        <v>9.9000000000000005E-2</v>
      </c>
      <c r="F6" t="s">
        <v>46</v>
      </c>
      <c r="G6" t="s">
        <v>39</v>
      </c>
      <c r="H6" t="s">
        <v>40</v>
      </c>
      <c r="I6" t="s">
        <v>40</v>
      </c>
      <c r="J6" t="s">
        <v>39</v>
      </c>
    </row>
    <row r="7" spans="1:10" x14ac:dyDescent="0.25">
      <c r="A7" t="s">
        <v>48</v>
      </c>
      <c r="B7" t="s">
        <v>36</v>
      </c>
      <c r="C7" t="s">
        <v>43</v>
      </c>
      <c r="D7" t="s">
        <v>45</v>
      </c>
      <c r="E7" s="8">
        <f>+E10*0.33</f>
        <v>1.98</v>
      </c>
      <c r="F7" t="s">
        <v>46</v>
      </c>
      <c r="G7" t="s">
        <v>39</v>
      </c>
      <c r="H7" t="s">
        <v>40</v>
      </c>
      <c r="I7" t="s">
        <v>40</v>
      </c>
      <c r="J7" t="s">
        <v>39</v>
      </c>
    </row>
    <row r="8" spans="1:10" x14ac:dyDescent="0.25">
      <c r="A8" t="s">
        <v>49</v>
      </c>
      <c r="B8" t="s">
        <v>36</v>
      </c>
      <c r="C8" t="s">
        <v>43</v>
      </c>
      <c r="D8" t="s">
        <v>45</v>
      </c>
      <c r="E8">
        <v>1.8</v>
      </c>
      <c r="F8" t="s">
        <v>46</v>
      </c>
      <c r="G8" t="s">
        <v>39</v>
      </c>
      <c r="H8" t="s">
        <v>40</v>
      </c>
      <c r="I8" t="s">
        <v>40</v>
      </c>
      <c r="J8" t="s">
        <v>39</v>
      </c>
    </row>
    <row r="9" spans="1:10" x14ac:dyDescent="0.25">
      <c r="A9" t="s">
        <v>50</v>
      </c>
      <c r="B9" t="s">
        <v>36</v>
      </c>
      <c r="C9" t="s">
        <v>43</v>
      </c>
      <c r="D9" t="s">
        <v>45</v>
      </c>
      <c r="E9">
        <v>0.3</v>
      </c>
      <c r="F9" t="s">
        <v>46</v>
      </c>
      <c r="G9" t="s">
        <v>39</v>
      </c>
      <c r="H9" t="s">
        <v>40</v>
      </c>
      <c r="I9" t="s">
        <v>40</v>
      </c>
      <c r="J9" t="s">
        <v>39</v>
      </c>
    </row>
    <row r="10" spans="1:10" x14ac:dyDescent="0.25">
      <c r="A10" t="s">
        <v>51</v>
      </c>
      <c r="B10" t="s">
        <v>36</v>
      </c>
      <c r="C10" t="s">
        <v>43</v>
      </c>
      <c r="D10" t="s">
        <v>45</v>
      </c>
      <c r="E10">
        <v>6</v>
      </c>
      <c r="F10" t="s">
        <v>46</v>
      </c>
      <c r="G10" t="s">
        <v>39</v>
      </c>
      <c r="H10" t="s">
        <v>40</v>
      </c>
      <c r="I10" t="s">
        <v>40</v>
      </c>
      <c r="J10" t="s">
        <v>39</v>
      </c>
    </row>
    <row r="11" spans="1:10" x14ac:dyDescent="0.25">
      <c r="A11" t="s">
        <v>66</v>
      </c>
      <c r="B11" t="s">
        <v>36</v>
      </c>
      <c r="C11" t="s">
        <v>43</v>
      </c>
      <c r="D11" t="s">
        <v>45</v>
      </c>
      <c r="E11" s="8">
        <f>+E8*0.73</f>
        <v>1.3140000000000001</v>
      </c>
      <c r="F11" t="s">
        <v>46</v>
      </c>
      <c r="G11" t="s">
        <v>39</v>
      </c>
      <c r="H11" t="s">
        <v>40</v>
      </c>
      <c r="I11" t="s">
        <v>40</v>
      </c>
      <c r="J11" t="s">
        <v>39</v>
      </c>
    </row>
    <row r="12" spans="1:10" x14ac:dyDescent="0.25">
      <c r="A12" t="s">
        <v>67</v>
      </c>
      <c r="B12" t="s">
        <v>36</v>
      </c>
      <c r="C12" t="s">
        <v>43</v>
      </c>
      <c r="D12" t="s">
        <v>45</v>
      </c>
      <c r="E12" s="8">
        <f t="shared" ref="E12:E13" si="1">+E9*0.73</f>
        <v>0.219</v>
      </c>
      <c r="F12" t="s">
        <v>46</v>
      </c>
      <c r="G12" t="s">
        <v>39</v>
      </c>
      <c r="H12" t="s">
        <v>40</v>
      </c>
      <c r="I12" t="s">
        <v>40</v>
      </c>
      <c r="J12" t="s">
        <v>39</v>
      </c>
    </row>
    <row r="13" spans="1:10" x14ac:dyDescent="0.25">
      <c r="A13" t="s">
        <v>68</v>
      </c>
      <c r="B13" t="s">
        <v>36</v>
      </c>
      <c r="C13" t="s">
        <v>43</v>
      </c>
      <c r="D13" t="s">
        <v>45</v>
      </c>
      <c r="E13" s="8">
        <f t="shared" si="1"/>
        <v>4.38</v>
      </c>
      <c r="F13" t="s">
        <v>46</v>
      </c>
      <c r="G13" t="s">
        <v>39</v>
      </c>
      <c r="H13" t="s">
        <v>40</v>
      </c>
      <c r="I13" t="s">
        <v>40</v>
      </c>
      <c r="J1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E0E1-C9B2-48BD-8EC2-7780A6E4E620}">
  <dimension ref="A1:C13"/>
  <sheetViews>
    <sheetView zoomScale="130" zoomScaleNormal="130" workbookViewId="0">
      <selection activeCell="B17" sqref="B17"/>
    </sheetView>
  </sheetViews>
  <sheetFormatPr defaultRowHeight="15" x14ac:dyDescent="0.25"/>
  <cols>
    <col min="1" max="1" width="27.7109375" customWidth="1"/>
    <col min="2" max="2" width="22" customWidth="1"/>
    <col min="3" max="3" width="17.28515625" customWidth="1"/>
  </cols>
  <sheetData>
    <row r="1" spans="1:3" x14ac:dyDescent="0.25">
      <c r="A1" t="s">
        <v>26</v>
      </c>
      <c r="B1" t="s">
        <v>52</v>
      </c>
      <c r="C1" t="s">
        <v>53</v>
      </c>
    </row>
    <row r="2" spans="1:3" x14ac:dyDescent="0.25">
      <c r="A2" t="s">
        <v>11</v>
      </c>
      <c r="B2" t="s">
        <v>70</v>
      </c>
      <c r="C2">
        <v>1</v>
      </c>
    </row>
    <row r="3" spans="1:3" x14ac:dyDescent="0.25">
      <c r="A3" t="s">
        <v>41</v>
      </c>
      <c r="B3" t="s">
        <v>70</v>
      </c>
      <c r="C3">
        <v>2</v>
      </c>
    </row>
    <row r="4" spans="1:3" x14ac:dyDescent="0.25">
      <c r="A4" t="s">
        <v>42</v>
      </c>
      <c r="B4" t="s">
        <v>71</v>
      </c>
      <c r="C4">
        <v>1</v>
      </c>
    </row>
    <row r="5" spans="1:3" x14ac:dyDescent="0.25">
      <c r="A5" t="s">
        <v>44</v>
      </c>
      <c r="B5" t="s">
        <v>45</v>
      </c>
      <c r="C5">
        <v>1</v>
      </c>
    </row>
    <row r="6" spans="1:3" x14ac:dyDescent="0.25">
      <c r="A6" t="s">
        <v>47</v>
      </c>
      <c r="B6" t="s">
        <v>45</v>
      </c>
      <c r="C6">
        <v>2</v>
      </c>
    </row>
    <row r="7" spans="1:3" x14ac:dyDescent="0.25">
      <c r="A7" t="s">
        <v>48</v>
      </c>
      <c r="B7" t="s">
        <v>45</v>
      </c>
      <c r="C7">
        <v>3</v>
      </c>
    </row>
    <row r="8" spans="1:3" x14ac:dyDescent="0.25">
      <c r="A8" t="s">
        <v>49</v>
      </c>
      <c r="B8" t="s">
        <v>45</v>
      </c>
      <c r="C8">
        <v>1</v>
      </c>
    </row>
    <row r="9" spans="1:3" x14ac:dyDescent="0.25">
      <c r="A9" t="s">
        <v>50</v>
      </c>
      <c r="B9" t="s">
        <v>45</v>
      </c>
      <c r="C9">
        <v>2</v>
      </c>
    </row>
    <row r="10" spans="1:3" x14ac:dyDescent="0.25">
      <c r="A10" t="s">
        <v>51</v>
      </c>
      <c r="B10" t="s">
        <v>45</v>
      </c>
      <c r="C10">
        <v>3</v>
      </c>
    </row>
    <row r="11" spans="1:3" x14ac:dyDescent="0.25">
      <c r="A11" t="s">
        <v>66</v>
      </c>
      <c r="B11" t="s">
        <v>45</v>
      </c>
      <c r="C11">
        <v>1</v>
      </c>
    </row>
    <row r="12" spans="1:3" x14ac:dyDescent="0.25">
      <c r="A12" t="s">
        <v>67</v>
      </c>
      <c r="B12" t="s">
        <v>45</v>
      </c>
      <c r="C12">
        <v>2</v>
      </c>
    </row>
    <row r="13" spans="1:3" x14ac:dyDescent="0.25">
      <c r="A13" t="s">
        <v>68</v>
      </c>
      <c r="B13" t="s">
        <v>45</v>
      </c>
      <c r="C1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D545-9788-47AE-8394-F493A94C332D}">
  <dimension ref="A1:E4"/>
  <sheetViews>
    <sheetView workbookViewId="0">
      <selection activeCell="D8" sqref="D8"/>
    </sheetView>
  </sheetViews>
  <sheetFormatPr defaultRowHeight="15" x14ac:dyDescent="0.25"/>
  <cols>
    <col min="3" max="3" width="12.28515625" bestFit="1" customWidth="1"/>
  </cols>
  <sheetData>
    <row r="1" spans="1:5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25">
      <c r="A2">
        <v>1</v>
      </c>
      <c r="B2" t="s">
        <v>59</v>
      </c>
      <c r="C2" t="s">
        <v>58</v>
      </c>
      <c r="D2">
        <v>1</v>
      </c>
      <c r="E2">
        <v>1</v>
      </c>
    </row>
    <row r="3" spans="1:5" x14ac:dyDescent="0.25">
      <c r="A3">
        <v>2</v>
      </c>
      <c r="B3" t="s">
        <v>59</v>
      </c>
      <c r="C3" t="s">
        <v>58</v>
      </c>
      <c r="D3">
        <v>1</v>
      </c>
      <c r="E3">
        <v>1</v>
      </c>
    </row>
    <row r="4" spans="1:5" x14ac:dyDescent="0.25">
      <c r="A4">
        <v>3</v>
      </c>
      <c r="B4" t="s">
        <v>59</v>
      </c>
      <c r="C4" t="s">
        <v>58</v>
      </c>
      <c r="D4">
        <v>1</v>
      </c>
      <c r="E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7F27-B547-45AC-9504-698E170E583D}">
  <dimension ref="A1:G4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24.42578125" customWidth="1"/>
    <col min="2" max="2" width="15.42578125" customWidth="1"/>
    <col min="7" max="7" width="21.7109375" customWidth="1"/>
  </cols>
  <sheetData>
    <row r="1" spans="1:7" x14ac:dyDescent="0.25">
      <c r="A1" s="7" t="s">
        <v>60</v>
      </c>
      <c r="B1" s="7" t="s">
        <v>61</v>
      </c>
      <c r="C1" s="7"/>
      <c r="D1" s="7"/>
      <c r="E1" s="7"/>
      <c r="F1" s="7"/>
      <c r="G1" s="7" t="s">
        <v>62</v>
      </c>
    </row>
    <row r="2" spans="1:7" x14ac:dyDescent="0.25">
      <c r="A2" t="s">
        <v>63</v>
      </c>
      <c r="B2" t="s">
        <v>65</v>
      </c>
      <c r="G2" t="s">
        <v>64</v>
      </c>
    </row>
    <row r="3" spans="1:7" x14ac:dyDescent="0.25">
      <c r="G3" t="s">
        <v>65</v>
      </c>
    </row>
    <row r="4" spans="1:7" x14ac:dyDescent="0.25">
      <c r="G4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A2EC0F-BC92-4EF3-A7D2-FF2F332C8E79}"/>
</file>

<file path=customXml/itemProps2.xml><?xml version="1.0" encoding="utf-8"?>
<ds:datastoreItem xmlns:ds="http://schemas.openxmlformats.org/officeDocument/2006/customXml" ds:itemID="{FD8CA5F7-44AC-4D59-A3E3-391FAB2389E9}"/>
</file>

<file path=customXml/itemProps3.xml><?xml version="1.0" encoding="utf-8"?>
<ds:datastoreItem xmlns:ds="http://schemas.openxmlformats.org/officeDocument/2006/customXml" ds:itemID="{852234BF-4E36-41EC-8424-F028D017E83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Reference Event Fatigue</vt:lpstr>
      <vt:lpstr>Reference Event</vt:lpstr>
      <vt:lpstr>Stresses</vt:lpstr>
      <vt:lpstr>Load Steps</vt:lpstr>
      <vt:lpstr>Paths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Guidozzi</dc:creator>
  <cp:lastModifiedBy>Davide Falco</cp:lastModifiedBy>
  <dcterms:created xsi:type="dcterms:W3CDTF">2021-03-29T12:55:12Z</dcterms:created>
  <dcterms:modified xsi:type="dcterms:W3CDTF">2025-02-05T16:50:14Z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