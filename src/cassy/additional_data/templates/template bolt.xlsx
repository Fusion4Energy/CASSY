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GitHub/KAISER/src/kaiser/additional_data/templates/"/>
    </mc:Choice>
  </mc:AlternateContent>
  <xr:revisionPtr revIDLastSave="6" documentId="13_ncr:1_{A3FEA003-2A17-47B1-8BB2-20610EB1A688}" xr6:coauthVersionLast="47" xr6:coauthVersionMax="47" xr10:uidLastSave="{C896E06C-9D50-4410-A29A-F2C593E343EA}"/>
  <bookViews>
    <workbookView xWindow="-57720" yWindow="1725" windowWidth="29040" windowHeight="15840" activeTab="2" xr2:uid="{1B14086C-9772-43C7-BBF2-FDC7401A2E4E}"/>
  </bookViews>
  <sheets>
    <sheet name="Input_template" sheetId="2" r:id="rId1"/>
    <sheet name="SA_template" sheetId="1" r:id="rId2"/>
    <sheet name="Fatigu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I19" i="3"/>
  <c r="I16" i="3"/>
  <c r="J16" i="3" s="1"/>
  <c r="I14" i="3"/>
</calcChain>
</file>

<file path=xl/sharedStrings.xml><?xml version="1.0" encoding="utf-8"?>
<sst xmlns="http://schemas.openxmlformats.org/spreadsheetml/2006/main" count="61" uniqueCount="49">
  <si>
    <t>STRUCTURAL ASSESSMENT GENERAL DATA</t>
  </si>
  <si>
    <t>COMPONENT:</t>
  </si>
  <si>
    <t>ASSESSMENT:</t>
  </si>
  <si>
    <t>SUBCOMPONENT:</t>
  </si>
  <si>
    <t>CODE:</t>
  </si>
  <si>
    <t>POINT OF ANALYSIS:</t>
  </si>
  <si>
    <t>PARAGRAPH:</t>
  </si>
  <si>
    <t>MATERIAL:</t>
  </si>
  <si>
    <t>BOLT ID:</t>
  </si>
  <si>
    <t>BOLTED JUNCTION:</t>
  </si>
  <si>
    <t>REFERENCE EVENTS</t>
  </si>
  <si>
    <t># ID</t>
  </si>
  <si>
    <t>Operating Condition</t>
  </si>
  <si>
    <t>Stress Intensity Range</t>
  </si>
  <si>
    <t>Loading Ctg.</t>
  </si>
  <si>
    <t>CRITERIA LEVEL</t>
  </si>
  <si>
    <t>INPUT CONDITIONS</t>
  </si>
  <si>
    <t>USAGE FRACTION COMPUTATION</t>
  </si>
  <si>
    <t>RESIDUAL FRACTION</t>
  </si>
  <si>
    <t>T</t>
  </si>
  <si>
    <t>dpa</t>
  </si>
  <si>
    <t>number of cycles (n)</t>
  </si>
  <si>
    <t>N</t>
  </si>
  <si>
    <t>Vj=n/N</t>
  </si>
  <si>
    <t>MAXIMUM PARTIAL FATIGUE USAGE FRACTION</t>
  </si>
  <si>
    <t>APPLIED</t>
  </si>
  <si>
    <t>ALLOWABLE</t>
  </si>
  <si>
    <t>RESULTS</t>
  </si>
  <si>
    <t>Vj</t>
  </si>
  <si>
    <t>found for</t>
  </si>
  <si>
    <r>
      <t xml:space="preserve">Vtot = </t>
    </r>
    <r>
      <rPr>
        <sz val="14"/>
        <color theme="1"/>
        <rFont val="Calibri"/>
        <family val="2"/>
      </rPr>
      <t>Σ</t>
    </r>
    <r>
      <rPr>
        <sz val="10"/>
        <color theme="1"/>
        <rFont val="Arial"/>
        <family val="2"/>
      </rPr>
      <t>Vj</t>
    </r>
  </si>
  <si>
    <t>&lt; 1</t>
  </si>
  <si>
    <t>RE ID</t>
  </si>
  <si>
    <t>Concatenated Event</t>
  </si>
  <si>
    <t>N [N]</t>
  </si>
  <si>
    <t xml:space="preserve">M [Nm] </t>
  </si>
  <si>
    <t>T [N]</t>
  </si>
  <si>
    <t>INTERNAL ACTIONS</t>
  </si>
  <si>
    <t>Operating Conditions</t>
  </si>
  <si>
    <t>Initiating Event</t>
  </si>
  <si>
    <t>Internal Actions used for the assessment</t>
  </si>
  <si>
    <t>Type of load</t>
  </si>
  <si>
    <t>PARTIAL "REAL" STRAIN RANGE De and FATIGUE USAGE FRACTION V</t>
  </si>
  <si>
    <t>De1</t>
  </si>
  <si>
    <t>Dstot</t>
  </si>
  <si>
    <t>De2</t>
  </si>
  <si>
    <t>De3</t>
  </si>
  <si>
    <t>De4</t>
  </si>
  <si>
    <t>De=De1+De2+De3+De4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</si>
</sst>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 &quot;°C&quot;"/>
    <numFmt numFmtId="165" formatCode="0&quot; [MPa]&quot;"/>
    <numFmt numFmtId="166" formatCode="0.000000"/>
    <numFmt numFmtId="167" formatCode="0.000E+00"/>
    <numFmt numFmtId="168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Symbol"/>
      <family val="1"/>
      <charset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0" fillId="0" borderId="13" xfId="0" applyBorder="1"/>
    <xf numFmtId="0" fontId="3" fillId="2" borderId="2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6" fontId="8" fillId="2" borderId="13" xfId="0" applyNumberFormat="1" applyFont="1" applyFill="1" applyBorder="1" applyAlignment="1">
      <alignment horizontal="center" vertical="center"/>
    </xf>
    <xf numFmtId="10" fontId="5" fillId="2" borderId="14" xfId="1" applyNumberFormat="1" applyFont="1" applyFill="1" applyBorder="1" applyAlignment="1">
      <alignment horizontal="center" vertical="center"/>
    </xf>
    <xf numFmtId="166" fontId="8" fillId="2" borderId="40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vertical="center"/>
    </xf>
    <xf numFmtId="166" fontId="5" fillId="2" borderId="18" xfId="0" applyNumberFormat="1" applyFont="1" applyFill="1" applyBorder="1" applyAlignment="1">
      <alignment vertical="center"/>
    </xf>
    <xf numFmtId="0" fontId="5" fillId="2" borderId="48" xfId="0" applyFont="1" applyFill="1" applyBorder="1" applyAlignment="1">
      <alignment horizontal="right" vertical="center"/>
    </xf>
    <xf numFmtId="0" fontId="5" fillId="2" borderId="49" xfId="0" applyFont="1" applyFill="1" applyBorder="1" applyAlignment="1">
      <alignment horizontal="center" vertical="center"/>
    </xf>
    <xf numFmtId="166" fontId="5" fillId="2" borderId="18" xfId="0" applyNumberFormat="1" applyFont="1" applyFill="1" applyBorder="1" applyAlignment="1">
      <alignment horizontal="center" vertical="center"/>
    </xf>
    <xf numFmtId="1" fontId="5" fillId="2" borderId="49" xfId="0" applyNumberFormat="1" applyFont="1" applyFill="1" applyBorder="1" applyAlignment="1">
      <alignment horizontal="center" vertical="center"/>
    </xf>
    <xf numFmtId="10" fontId="5" fillId="2" borderId="19" xfId="1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11" fontId="11" fillId="2" borderId="24" xfId="0" applyNumberFormat="1" applyFont="1" applyFill="1" applyBorder="1" applyAlignment="1">
      <alignment horizontal="center" vertical="center"/>
    </xf>
    <xf numFmtId="11" fontId="11" fillId="2" borderId="34" xfId="0" applyNumberFormat="1" applyFont="1" applyFill="1" applyBorder="1" applyAlignment="1">
      <alignment horizontal="center" vertical="center"/>
    </xf>
    <xf numFmtId="11" fontId="11" fillId="2" borderId="35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167" fontId="6" fillId="2" borderId="10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164" fontId="6" fillId="2" borderId="53" xfId="0" applyNumberFormat="1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7" fillId="2" borderId="56" xfId="0" applyFont="1" applyFill="1" applyBorder="1" applyAlignment="1">
      <alignment horizontal="left" vertical="center" wrapText="1"/>
    </xf>
    <xf numFmtId="168" fontId="6" fillId="2" borderId="10" xfId="0" applyNumberFormat="1" applyFont="1" applyFill="1" applyBorder="1" applyAlignment="1">
      <alignment horizontal="center" vertical="center"/>
    </xf>
    <xf numFmtId="165" fontId="6" fillId="2" borderId="55" xfId="0" applyNumberFormat="1" applyFont="1" applyFill="1" applyBorder="1" applyAlignment="1">
      <alignment horizontal="center" vertical="center"/>
    </xf>
    <xf numFmtId="1" fontId="6" fillId="2" borderId="55" xfId="0" applyNumberFormat="1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left" vertical="center" wrapText="1"/>
    </xf>
    <xf numFmtId="0" fontId="5" fillId="2" borderId="62" xfId="0" applyFont="1" applyFill="1" applyBorder="1" applyAlignment="1">
      <alignment horizontal="left" vertical="center" wrapText="1"/>
    </xf>
    <xf numFmtId="11" fontId="1" fillId="2" borderId="22" xfId="0" applyNumberFormat="1" applyFont="1" applyFill="1" applyBorder="1" applyAlignment="1">
      <alignment horizontal="center" vertical="center"/>
    </xf>
    <xf numFmtId="11" fontId="1" fillId="2" borderId="18" xfId="0" applyNumberFormat="1" applyFont="1" applyFill="1" applyBorder="1" applyAlignment="1">
      <alignment horizontal="center" vertical="center"/>
    </xf>
    <xf numFmtId="11" fontId="1" fillId="2" borderId="52" xfId="0" applyNumberFormat="1" applyFont="1" applyFill="1" applyBorder="1" applyAlignment="1">
      <alignment horizontal="center" vertical="center"/>
    </xf>
    <xf numFmtId="11" fontId="1" fillId="2" borderId="29" xfId="0" applyNumberFormat="1" applyFont="1" applyFill="1" applyBorder="1" applyAlignment="1">
      <alignment horizontal="center" vertical="center"/>
    </xf>
    <xf numFmtId="11" fontId="3" fillId="2" borderId="43" xfId="0" applyNumberFormat="1" applyFont="1" applyFill="1" applyBorder="1" applyAlignment="1">
      <alignment horizontal="center" vertical="center" wrapText="1"/>
    </xf>
    <xf numFmtId="11" fontId="3" fillId="2" borderId="13" xfId="0" applyNumberFormat="1" applyFont="1" applyFill="1" applyBorder="1" applyAlignment="1">
      <alignment horizontal="center" vertical="center" wrapText="1"/>
    </xf>
    <xf numFmtId="11" fontId="3" fillId="2" borderId="42" xfId="0" applyNumberFormat="1" applyFont="1" applyFill="1" applyBorder="1" applyAlignment="1">
      <alignment horizontal="center" vertical="center" wrapText="1"/>
    </xf>
    <xf numFmtId="11" fontId="3" fillId="2" borderId="12" xfId="0" applyNumberFormat="1" applyFont="1" applyFill="1" applyBorder="1" applyAlignment="1">
      <alignment horizontal="center" vertical="center" wrapText="1"/>
    </xf>
    <xf numFmtId="11" fontId="1" fillId="2" borderId="17" xfId="0" applyNumberFormat="1" applyFont="1" applyFill="1" applyBorder="1" applyAlignment="1">
      <alignment horizontal="center" vertical="center"/>
    </xf>
    <xf numFmtId="11" fontId="0" fillId="0" borderId="18" xfId="0" applyNumberFormat="1" applyBorder="1" applyAlignment="1">
      <alignment horizontal="center"/>
    </xf>
    <xf numFmtId="11" fontId="0" fillId="0" borderId="19" xfId="0" applyNumberFormat="1" applyBorder="1" applyAlignment="1">
      <alignment horizontal="center"/>
    </xf>
    <xf numFmtId="11" fontId="2" fillId="0" borderId="27" xfId="0" applyNumberFormat="1" applyFont="1" applyBorder="1" applyAlignment="1">
      <alignment horizontal="left"/>
    </xf>
    <xf numFmtId="11" fontId="2" fillId="0" borderId="20" xfId="0" applyNumberFormat="1" applyFont="1" applyBorder="1" applyAlignment="1">
      <alignment horizontal="left"/>
    </xf>
    <xf numFmtId="11" fontId="2" fillId="0" borderId="21" xfId="0" applyNumberFormat="1" applyFont="1" applyBorder="1" applyAlignment="1">
      <alignment horizontal="left"/>
    </xf>
    <xf numFmtId="11" fontId="2" fillId="0" borderId="30" xfId="0" applyNumberFormat="1" applyFont="1" applyBorder="1" applyAlignment="1">
      <alignment horizontal="left"/>
    </xf>
    <xf numFmtId="11" fontId="2" fillId="0" borderId="4" xfId="0" applyNumberFormat="1" applyFont="1" applyBorder="1" applyAlignment="1">
      <alignment horizontal="left"/>
    </xf>
    <xf numFmtId="11" fontId="2" fillId="0" borderId="6" xfId="0" applyNumberFormat="1" applyFont="1" applyBorder="1" applyAlignment="1">
      <alignment horizontal="left"/>
    </xf>
    <xf numFmtId="49" fontId="2" fillId="0" borderId="30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11" fontId="11" fillId="0" borderId="40" xfId="0" applyNumberFormat="1" applyFont="1" applyBorder="1" applyAlignment="1">
      <alignment horizontal="center" vertical="center" wrapText="1"/>
    </xf>
    <xf numFmtId="11" fontId="11" fillId="0" borderId="34" xfId="0" applyNumberFormat="1" applyFont="1" applyBorder="1" applyAlignment="1">
      <alignment horizontal="center" vertical="center" wrapText="1"/>
    </xf>
    <xf numFmtId="11" fontId="11" fillId="0" borderId="50" xfId="0" applyNumberFormat="1" applyFont="1" applyBorder="1" applyAlignment="1">
      <alignment horizontal="center" vertical="center" wrapText="1"/>
    </xf>
    <xf numFmtId="11" fontId="11" fillId="0" borderId="14" xfId="0" applyNumberFormat="1" applyFont="1" applyBorder="1" applyAlignment="1">
      <alignment horizontal="center" vertical="center" wrapText="1"/>
    </xf>
    <xf numFmtId="11" fontId="2" fillId="0" borderId="31" xfId="0" applyNumberFormat="1" applyFont="1" applyBorder="1" applyAlignment="1">
      <alignment horizontal="left"/>
    </xf>
    <xf numFmtId="11" fontId="2" fillId="0" borderId="7" xfId="0" applyNumberFormat="1" applyFont="1" applyBorder="1" applyAlignment="1">
      <alignment horizontal="left"/>
    </xf>
    <xf numFmtId="11" fontId="2" fillId="0" borderId="8" xfId="0" applyNumberFormat="1" applyFont="1" applyBorder="1" applyAlignment="1">
      <alignment horizontal="left"/>
    </xf>
    <xf numFmtId="11" fontId="1" fillId="2" borderId="27" xfId="0" applyNumberFormat="1" applyFont="1" applyFill="1" applyBorder="1" applyAlignment="1">
      <alignment horizontal="left" vertical="center"/>
    </xf>
    <xf numFmtId="11" fontId="1" fillId="2" borderId="20" xfId="0" applyNumberFormat="1" applyFont="1" applyFill="1" applyBorder="1" applyAlignment="1">
      <alignment horizontal="left" vertical="center"/>
    </xf>
    <xf numFmtId="11" fontId="1" fillId="2" borderId="30" xfId="0" applyNumberFormat="1" applyFont="1" applyFill="1" applyBorder="1" applyAlignment="1">
      <alignment horizontal="left" vertical="center"/>
    </xf>
    <xf numFmtId="11" fontId="1" fillId="2" borderId="4" xfId="0" applyNumberFormat="1" applyFont="1" applyFill="1" applyBorder="1" applyAlignment="1">
      <alignment horizontal="left" vertical="center"/>
    </xf>
    <xf numFmtId="11" fontId="1" fillId="2" borderId="31" xfId="0" applyNumberFormat="1" applyFont="1" applyFill="1" applyBorder="1" applyAlignment="1">
      <alignment horizontal="left" vertical="center"/>
    </xf>
    <xf numFmtId="11" fontId="1" fillId="2" borderId="7" xfId="0" applyNumberFormat="1" applyFont="1" applyFill="1" applyBorder="1" applyAlignment="1">
      <alignment horizontal="left" vertical="center"/>
    </xf>
    <xf numFmtId="11" fontId="3" fillId="2" borderId="22" xfId="0" applyNumberFormat="1" applyFont="1" applyFill="1" applyBorder="1" applyAlignment="1">
      <alignment horizontal="center" vertical="center"/>
    </xf>
    <xf numFmtId="11" fontId="3" fillId="2" borderId="18" xfId="0" applyNumberFormat="1" applyFont="1" applyFill="1" applyBorder="1" applyAlignment="1">
      <alignment horizontal="center" vertical="center"/>
    </xf>
    <xf numFmtId="11" fontId="3" fillId="2" borderId="19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/>
    </xf>
    <xf numFmtId="0" fontId="0" fillId="0" borderId="9" xfId="0" applyBorder="1"/>
    <xf numFmtId="0" fontId="2" fillId="2" borderId="9" xfId="0" applyFont="1" applyFill="1" applyBorder="1" applyAlignment="1">
      <alignment horizontal="left" vertical="center"/>
    </xf>
    <xf numFmtId="0" fontId="0" fillId="0" borderId="51" xfId="0" applyBorder="1"/>
    <xf numFmtId="0" fontId="1" fillId="2" borderId="42" xfId="0" applyFont="1" applyFill="1" applyBorder="1" applyAlignment="1">
      <alignment horizontal="left" vertical="center"/>
    </xf>
    <xf numFmtId="0" fontId="0" fillId="0" borderId="43" xfId="0" applyBorder="1"/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10" xfId="0" applyBorder="1"/>
    <xf numFmtId="0" fontId="2" fillId="2" borderId="10" xfId="0" applyFont="1" applyFill="1" applyBorder="1" applyAlignment="1">
      <alignment horizontal="left" vertical="center"/>
    </xf>
    <xf numFmtId="0" fontId="0" fillId="0" borderId="11" xfId="0" applyBorder="1"/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3" fillId="2" borderId="41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2" borderId="40" xfId="0" applyFont="1" applyFill="1" applyBorder="1" applyAlignment="1">
      <alignment horizontal="center" vertical="center"/>
    </xf>
    <xf numFmtId="0" fontId="0" fillId="0" borderId="46" xfId="0" applyBorder="1"/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4" xfId="0" applyBorder="1"/>
    <xf numFmtId="0" fontId="0" fillId="0" borderId="6" xfId="0" applyBorder="1"/>
  </cellXfs>
  <cellStyles count="2">
    <cellStyle name="Normale" xfId="0" builtinId="0"/>
    <cellStyle name="Percentuale" xfId="1" builtinId="5"/>
  </cellStyles>
  <dxfs count="15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00FF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2058-0711-4AAE-BBC4-1DEA1ED115C1}">
  <dimension ref="A1:H9"/>
  <sheetViews>
    <sheetView zoomScale="85" zoomScaleNormal="85" workbookViewId="0">
      <pane ySplit="9" topLeftCell="A10" activePane="bottomLeft" state="frozen"/>
      <selection pane="bottomLeft" activeCell="C2" sqref="C2:H2"/>
    </sheetView>
  </sheetViews>
  <sheetFormatPr defaultColWidth="8.85546875" defaultRowHeight="15" x14ac:dyDescent="0.25"/>
  <cols>
    <col min="1" max="2" width="15.85546875" style="1" customWidth="1"/>
    <col min="3" max="5" width="24.85546875" style="1" customWidth="1"/>
    <col min="6" max="8" width="12.85546875" style="24" customWidth="1"/>
    <col min="9" max="16384" width="8.85546875" style="1"/>
  </cols>
  <sheetData>
    <row r="1" spans="1:8" customFormat="1" ht="15.75" thickBot="1" x14ac:dyDescent="0.3">
      <c r="A1" s="40" t="s">
        <v>0</v>
      </c>
      <c r="B1" s="41"/>
      <c r="C1" s="42"/>
      <c r="D1" s="42"/>
      <c r="E1" s="42"/>
      <c r="F1" s="42"/>
      <c r="G1" s="42"/>
      <c r="H1" s="43"/>
    </row>
    <row r="2" spans="1:8" customFormat="1" x14ac:dyDescent="0.25">
      <c r="A2" s="67" t="s">
        <v>1</v>
      </c>
      <c r="B2" s="68"/>
      <c r="C2" s="51"/>
      <c r="D2" s="52"/>
      <c r="E2" s="52"/>
      <c r="F2" s="52"/>
      <c r="G2" s="52"/>
      <c r="H2" s="53"/>
    </row>
    <row r="3" spans="1:8" customFormat="1" x14ac:dyDescent="0.25">
      <c r="A3" s="69" t="s">
        <v>3</v>
      </c>
      <c r="B3" s="70"/>
      <c r="C3" s="54"/>
      <c r="D3" s="55"/>
      <c r="E3" s="55"/>
      <c r="F3" s="55"/>
      <c r="G3" s="55"/>
      <c r="H3" s="56"/>
    </row>
    <row r="4" spans="1:8" customFormat="1" x14ac:dyDescent="0.25">
      <c r="A4" s="69" t="s">
        <v>5</v>
      </c>
      <c r="B4" s="70"/>
      <c r="C4" s="57"/>
      <c r="D4" s="58"/>
      <c r="E4" s="58"/>
      <c r="F4" s="58"/>
      <c r="G4" s="58"/>
      <c r="H4" s="59"/>
    </row>
    <row r="5" spans="1:8" customFormat="1" ht="15.75" thickBot="1" x14ac:dyDescent="0.3">
      <c r="A5" s="71" t="s">
        <v>7</v>
      </c>
      <c r="B5" s="72"/>
      <c r="C5" s="64"/>
      <c r="D5" s="65"/>
      <c r="E5" s="65"/>
      <c r="F5" s="65"/>
      <c r="G5" s="65"/>
      <c r="H5" s="66"/>
    </row>
    <row r="6" spans="1:8" ht="15.75" thickBot="1" x14ac:dyDescent="0.3">
      <c r="A6" s="24"/>
      <c r="B6" s="24"/>
      <c r="C6" s="24"/>
      <c r="D6" s="24"/>
      <c r="E6" s="24"/>
    </row>
    <row r="7" spans="1:8" ht="15.75" thickBot="1" x14ac:dyDescent="0.3">
      <c r="A7" s="48" t="s">
        <v>40</v>
      </c>
      <c r="B7" s="41"/>
      <c r="C7" s="41"/>
      <c r="D7" s="41"/>
      <c r="E7" s="41"/>
      <c r="F7" s="49"/>
      <c r="G7" s="49"/>
      <c r="H7" s="50"/>
    </row>
    <row r="8" spans="1:8" ht="15" customHeight="1" thickBot="1" x14ac:dyDescent="0.3">
      <c r="A8" s="46" t="s">
        <v>32</v>
      </c>
      <c r="B8" s="44" t="s">
        <v>38</v>
      </c>
      <c r="C8" s="60" t="s">
        <v>39</v>
      </c>
      <c r="D8" s="62" t="s">
        <v>33</v>
      </c>
      <c r="E8" s="73" t="s">
        <v>37</v>
      </c>
      <c r="F8" s="74"/>
      <c r="G8" s="74"/>
      <c r="H8" s="75"/>
    </row>
    <row r="9" spans="1:8" ht="21" customHeight="1" thickBot="1" x14ac:dyDescent="0.3">
      <c r="A9" s="47"/>
      <c r="B9" s="45"/>
      <c r="C9" s="61"/>
      <c r="D9" s="63"/>
      <c r="E9" s="28" t="s">
        <v>41</v>
      </c>
      <c r="F9" s="25" t="s">
        <v>34</v>
      </c>
      <c r="G9" s="26" t="s">
        <v>36</v>
      </c>
      <c r="H9" s="27" t="s">
        <v>35</v>
      </c>
    </row>
  </sheetData>
  <mergeCells count="15">
    <mergeCell ref="A1:H1"/>
    <mergeCell ref="B8:B9"/>
    <mergeCell ref="A8:A9"/>
    <mergeCell ref="A7:H7"/>
    <mergeCell ref="C2:H2"/>
    <mergeCell ref="C3:H3"/>
    <mergeCell ref="C4:H4"/>
    <mergeCell ref="C8:C9"/>
    <mergeCell ref="D8:D9"/>
    <mergeCell ref="C5:H5"/>
    <mergeCell ref="A2:B2"/>
    <mergeCell ref="A3:B3"/>
    <mergeCell ref="A4:B4"/>
    <mergeCell ref="A5:B5"/>
    <mergeCell ref="E8:H8"/>
  </mergeCells>
  <conditionalFormatting sqref="A1:E1 I1:XFD1048576 A2:A5 A6:H7 E8 A8:B9 F9:H9 A10:H1048576">
    <cfRule type="cellIs" dxfId="14" priority="1" operator="equal">
      <formula>"Assessment not required"</formula>
    </cfRule>
    <cfRule type="cellIs" dxfId="13" priority="2" operator="equal">
      <formula>"OK"</formula>
    </cfRule>
    <cfRule type="cellIs" dxfId="12" priority="3" operator="equal">
      <formula>"FAILED"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43CF-4C0B-4C96-BB86-6BCB65C4831B}">
  <dimension ref="A1:O5"/>
  <sheetViews>
    <sheetView workbookViewId="0">
      <pane ySplit="7" topLeftCell="A8" activePane="bottomLeft" state="frozen"/>
      <selection pane="bottomLeft" activeCell="C2" sqref="C2:G2"/>
    </sheetView>
  </sheetViews>
  <sheetFormatPr defaultColWidth="8.85546875" defaultRowHeight="15" x14ac:dyDescent="0.25"/>
  <cols>
    <col min="1" max="1" width="15.140625" style="1" customWidth="1"/>
    <col min="2" max="2" width="11.42578125" style="1" customWidth="1"/>
    <col min="3" max="4" width="14.7109375" style="1" customWidth="1"/>
    <col min="5" max="5" width="9.28515625" style="1" customWidth="1"/>
    <col min="6" max="6" width="8.85546875" style="1" customWidth="1"/>
    <col min="7" max="7" width="11.5703125" style="1" customWidth="1"/>
    <col min="8" max="8" width="8.5703125" style="1" customWidth="1"/>
    <col min="9" max="9" width="13.5703125" style="1" customWidth="1"/>
    <col min="10" max="10" width="10.140625" style="1" customWidth="1"/>
    <col min="11" max="11" width="17.7109375" style="1" customWidth="1"/>
    <col min="12" max="13" width="10.5703125" style="1" customWidth="1"/>
    <col min="14" max="16384" width="8.85546875" style="1"/>
  </cols>
  <sheetData>
    <row r="1" spans="1:15" customFormat="1" ht="15.75" thickBo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customFormat="1" ht="54" customHeight="1" x14ac:dyDescent="0.25">
      <c r="A2" s="79" t="s">
        <v>1</v>
      </c>
      <c r="B2" s="80"/>
      <c r="C2" s="81"/>
      <c r="D2" s="80"/>
      <c r="E2" s="80"/>
      <c r="F2" s="80"/>
      <c r="G2" s="82"/>
      <c r="H2" s="83" t="s">
        <v>2</v>
      </c>
      <c r="I2" s="84"/>
      <c r="J2" s="85"/>
      <c r="K2" s="85"/>
      <c r="L2" s="85"/>
      <c r="M2" s="85"/>
      <c r="N2" s="85"/>
      <c r="O2" s="86"/>
    </row>
    <row r="3" spans="1:15" customFormat="1" x14ac:dyDescent="0.25">
      <c r="A3" s="92" t="s">
        <v>9</v>
      </c>
      <c r="B3" s="93"/>
      <c r="C3" s="94"/>
      <c r="D3" s="93"/>
      <c r="E3" s="93"/>
      <c r="F3" s="93"/>
      <c r="G3" s="95"/>
      <c r="H3" s="92" t="s">
        <v>4</v>
      </c>
      <c r="I3" s="93"/>
      <c r="J3" s="87"/>
      <c r="K3" s="87"/>
      <c r="L3" s="87"/>
      <c r="M3" s="87"/>
      <c r="N3" s="87"/>
      <c r="O3" s="88"/>
    </row>
    <row r="4" spans="1:15" customFormat="1" x14ac:dyDescent="0.25">
      <c r="A4" s="92" t="s">
        <v>8</v>
      </c>
      <c r="B4" s="93"/>
      <c r="C4" s="94"/>
      <c r="D4" s="93"/>
      <c r="E4" s="93"/>
      <c r="F4" s="93"/>
      <c r="G4" s="95"/>
      <c r="H4" s="92" t="s">
        <v>6</v>
      </c>
      <c r="I4" s="93"/>
      <c r="J4" s="87"/>
      <c r="K4" s="87"/>
      <c r="L4" s="87"/>
      <c r="M4" s="87"/>
      <c r="N4" s="87"/>
      <c r="O4" s="88"/>
    </row>
    <row r="5" spans="1:15" customFormat="1" ht="15.75" thickBot="1" x14ac:dyDescent="0.3">
      <c r="A5" s="96" t="s">
        <v>7</v>
      </c>
      <c r="B5" s="97"/>
      <c r="C5" s="98"/>
      <c r="D5" s="98"/>
      <c r="E5" s="98"/>
      <c r="F5" s="98"/>
      <c r="G5" s="99"/>
      <c r="H5" s="89"/>
      <c r="I5" s="90"/>
      <c r="J5" s="90"/>
      <c r="K5" s="90"/>
      <c r="L5" s="90"/>
      <c r="M5" s="90"/>
      <c r="N5" s="90"/>
      <c r="O5" s="91"/>
    </row>
  </sheetData>
  <mergeCells count="16">
    <mergeCell ref="J3:O3"/>
    <mergeCell ref="J4:O4"/>
    <mergeCell ref="H5:O5"/>
    <mergeCell ref="A3:B3"/>
    <mergeCell ref="C3:G3"/>
    <mergeCell ref="H3:I3"/>
    <mergeCell ref="A4:B4"/>
    <mergeCell ref="C4:G4"/>
    <mergeCell ref="H4:I4"/>
    <mergeCell ref="A5:B5"/>
    <mergeCell ref="C5:G5"/>
    <mergeCell ref="A1:O1"/>
    <mergeCell ref="A2:B2"/>
    <mergeCell ref="C2:G2"/>
    <mergeCell ref="H2:I2"/>
    <mergeCell ref="J2:O2"/>
  </mergeCells>
  <conditionalFormatting sqref="A1 P1:XFD5 A2:J4 A5:H5 A6:XFD1048576">
    <cfRule type="cellIs" dxfId="11" priority="4" operator="equal">
      <formula>"Assessment not required"</formula>
    </cfRule>
    <cfRule type="cellIs" dxfId="10" priority="5" operator="equal">
      <formula>"OK"</formula>
    </cfRule>
    <cfRule type="cellIs" dxfId="9" priority="6" operator="equal">
      <formula>"FAILED"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FB3C-A091-4158-83DB-901DAD7E0639}">
  <dimension ref="A1:J19"/>
  <sheetViews>
    <sheetView tabSelected="1" zoomScale="130" zoomScaleNormal="130" workbookViewId="0">
      <selection activeCell="C2" sqref="C2:E2"/>
    </sheetView>
  </sheetViews>
  <sheetFormatPr defaultColWidth="8.85546875" defaultRowHeight="15" x14ac:dyDescent="0.25"/>
  <cols>
    <col min="1" max="1" width="15.140625" style="1" customWidth="1"/>
    <col min="2" max="2" width="18.7109375" style="1" customWidth="1"/>
    <col min="3" max="3" width="22.28515625" style="1" customWidth="1"/>
    <col min="4" max="4" width="8.7109375" style="1" customWidth="1"/>
    <col min="5" max="5" width="10.140625" style="1" customWidth="1"/>
    <col min="6" max="6" width="13.5703125" style="1" customWidth="1"/>
    <col min="7" max="7" width="21.42578125" style="1" customWidth="1"/>
    <col min="8" max="8" width="12.5703125" style="1" customWidth="1"/>
    <col min="9" max="9" width="13" style="1" customWidth="1"/>
    <col min="10" max="10" width="11.42578125" style="1" customWidth="1"/>
    <col min="11" max="16384" width="8.85546875" style="1"/>
  </cols>
  <sheetData>
    <row r="1" spans="1:10" customFormat="1" ht="15.75" thickBo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8"/>
    </row>
    <row r="2" spans="1:10" customFormat="1" x14ac:dyDescent="0.25">
      <c r="A2" s="143" t="s">
        <v>1</v>
      </c>
      <c r="B2" s="144"/>
      <c r="C2" s="147"/>
      <c r="D2" s="148"/>
      <c r="E2" s="149"/>
      <c r="F2" s="143" t="s">
        <v>2</v>
      </c>
      <c r="G2" s="144"/>
      <c r="H2" s="150"/>
      <c r="I2" s="151"/>
      <c r="J2" s="152"/>
    </row>
    <row r="3" spans="1:10" customFormat="1" x14ac:dyDescent="0.25">
      <c r="A3" s="145" t="s">
        <v>3</v>
      </c>
      <c r="B3" s="146"/>
      <c r="C3" s="153"/>
      <c r="D3" s="154"/>
      <c r="E3" s="155"/>
      <c r="F3" s="145" t="s">
        <v>4</v>
      </c>
      <c r="G3" s="146"/>
      <c r="H3" s="153"/>
      <c r="I3" s="154"/>
      <c r="J3" s="155"/>
    </row>
    <row r="4" spans="1:10" customFormat="1" x14ac:dyDescent="0.25">
      <c r="A4" s="145" t="s">
        <v>5</v>
      </c>
      <c r="B4" s="146"/>
      <c r="C4" s="153"/>
      <c r="D4" s="154"/>
      <c r="E4" s="155"/>
      <c r="F4" s="145" t="s">
        <v>6</v>
      </c>
      <c r="G4" s="146"/>
      <c r="H4" s="95"/>
      <c r="I4" s="156"/>
      <c r="J4" s="157"/>
    </row>
    <row r="5" spans="1:10" customFormat="1" ht="15.75" thickBot="1" x14ac:dyDescent="0.3">
      <c r="A5" s="133" t="s">
        <v>7</v>
      </c>
      <c r="B5" s="134"/>
      <c r="C5" s="99"/>
      <c r="D5" s="135"/>
      <c r="E5" s="136"/>
      <c r="F5" s="31"/>
      <c r="G5" s="3"/>
      <c r="H5" s="99"/>
      <c r="I5" s="135"/>
      <c r="J5" s="136"/>
    </row>
    <row r="6" spans="1:10" ht="15.75" thickBot="1" x14ac:dyDescent="0.3"/>
    <row r="7" spans="1:10" ht="33.75" customHeight="1" thickBot="1" x14ac:dyDescent="0.3">
      <c r="A7" s="137" t="s">
        <v>10</v>
      </c>
      <c r="B7" s="138"/>
      <c r="C7" s="138"/>
      <c r="D7" s="138"/>
      <c r="E7" s="139"/>
      <c r="F7" s="140" t="s">
        <v>42</v>
      </c>
      <c r="G7" s="141"/>
      <c r="H7" s="141"/>
      <c r="I7" s="141"/>
      <c r="J7" s="142"/>
    </row>
    <row r="8" spans="1:10" ht="26.25" customHeight="1" thickBot="1" x14ac:dyDescent="0.3">
      <c r="A8" s="4" t="s">
        <v>11</v>
      </c>
      <c r="B8" s="5" t="s">
        <v>12</v>
      </c>
      <c r="C8" s="2" t="s">
        <v>13</v>
      </c>
      <c r="D8" s="6" t="s">
        <v>14</v>
      </c>
      <c r="E8" s="7" t="s">
        <v>15</v>
      </c>
      <c r="F8" s="116" t="s">
        <v>16</v>
      </c>
      <c r="G8" s="117"/>
      <c r="H8" s="118" t="s">
        <v>17</v>
      </c>
      <c r="I8" s="119"/>
      <c r="J8" s="8" t="s">
        <v>18</v>
      </c>
    </row>
    <row r="9" spans="1:10" ht="15" customHeight="1" x14ac:dyDescent="0.25">
      <c r="A9" s="120"/>
      <c r="B9" s="122"/>
      <c r="C9" s="122"/>
      <c r="D9" s="125"/>
      <c r="E9" s="128"/>
      <c r="F9" s="9" t="s">
        <v>19</v>
      </c>
      <c r="G9" s="32"/>
      <c r="H9" s="131"/>
      <c r="I9" s="132"/>
      <c r="J9" s="100"/>
    </row>
    <row r="10" spans="1:10" ht="15" customHeight="1" x14ac:dyDescent="0.25">
      <c r="A10" s="120"/>
      <c r="B10" s="123"/>
      <c r="C10" s="123"/>
      <c r="D10" s="126"/>
      <c r="E10" s="129"/>
      <c r="F10" s="10" t="s">
        <v>20</v>
      </c>
      <c r="G10" s="33"/>
      <c r="H10" s="34" t="s">
        <v>43</v>
      </c>
      <c r="I10" s="35"/>
      <c r="J10" s="101"/>
    </row>
    <row r="11" spans="1:10" x14ac:dyDescent="0.25">
      <c r="A11" s="120"/>
      <c r="B11" s="123"/>
      <c r="C11" s="123"/>
      <c r="D11" s="126"/>
      <c r="E11" s="129"/>
      <c r="F11" s="11" t="s">
        <v>44</v>
      </c>
      <c r="G11" s="36"/>
      <c r="H11" s="34" t="s">
        <v>45</v>
      </c>
      <c r="I11" s="35"/>
      <c r="J11" s="101"/>
    </row>
    <row r="12" spans="1:10" ht="25.5" x14ac:dyDescent="0.25">
      <c r="A12" s="120"/>
      <c r="B12" s="123"/>
      <c r="C12" s="123"/>
      <c r="D12" s="126"/>
      <c r="E12" s="129"/>
      <c r="F12" s="12" t="s">
        <v>21</v>
      </c>
      <c r="G12" s="37"/>
      <c r="H12" s="34" t="s">
        <v>46</v>
      </c>
      <c r="I12" s="35"/>
      <c r="J12" s="101"/>
    </row>
    <row r="13" spans="1:10" x14ac:dyDescent="0.25">
      <c r="A13" s="120"/>
      <c r="B13" s="123"/>
      <c r="C13" s="123"/>
      <c r="D13" s="126"/>
      <c r="E13" s="129"/>
      <c r="F13" s="110"/>
      <c r="G13" s="111"/>
      <c r="H13" s="34" t="s">
        <v>47</v>
      </c>
      <c r="I13" s="35"/>
      <c r="J13" s="101"/>
    </row>
    <row r="14" spans="1:10" ht="25.5" x14ac:dyDescent="0.25">
      <c r="A14" s="120"/>
      <c r="B14" s="123"/>
      <c r="C14" s="123"/>
      <c r="D14" s="126"/>
      <c r="E14" s="129"/>
      <c r="F14" s="112"/>
      <c r="G14" s="113"/>
      <c r="H14" s="34" t="s">
        <v>48</v>
      </c>
      <c r="I14" s="35">
        <f>I10+I11+I12+I13</f>
        <v>0</v>
      </c>
      <c r="J14" s="101"/>
    </row>
    <row r="15" spans="1:10" x14ac:dyDescent="0.25">
      <c r="A15" s="120"/>
      <c r="B15" s="123"/>
      <c r="C15" s="123"/>
      <c r="D15" s="126"/>
      <c r="E15" s="129"/>
      <c r="F15" s="112"/>
      <c r="G15" s="113"/>
      <c r="H15" s="38" t="s">
        <v>22</v>
      </c>
      <c r="I15" s="29"/>
      <c r="J15" s="102"/>
    </row>
    <row r="16" spans="1:10" ht="15.75" thickBot="1" x14ac:dyDescent="0.3">
      <c r="A16" s="121"/>
      <c r="B16" s="124"/>
      <c r="C16" s="124"/>
      <c r="D16" s="127"/>
      <c r="E16" s="130"/>
      <c r="F16" s="114"/>
      <c r="G16" s="115"/>
      <c r="H16" s="39" t="s">
        <v>23</v>
      </c>
      <c r="I16" s="13" t="e">
        <f>G12/I15</f>
        <v>#DIV/0!</v>
      </c>
      <c r="J16" s="14" t="e">
        <f>1-I16</f>
        <v>#DIV/0!</v>
      </c>
    </row>
    <row r="17" spans="1:10" ht="15.75" thickBot="1" x14ac:dyDescent="0.3"/>
    <row r="18" spans="1:10" ht="26.25" thickBot="1" x14ac:dyDescent="0.3">
      <c r="A18" s="103" t="s">
        <v>24</v>
      </c>
      <c r="B18" s="104"/>
      <c r="C18" s="104"/>
      <c r="D18" s="104"/>
      <c r="E18" s="105"/>
      <c r="F18" s="106" t="s">
        <v>25</v>
      </c>
      <c r="G18" s="107"/>
      <c r="H18" s="15" t="s">
        <v>26</v>
      </c>
      <c r="I18" s="15" t="s">
        <v>27</v>
      </c>
      <c r="J18" s="16" t="s">
        <v>18</v>
      </c>
    </row>
    <row r="19" spans="1:10" ht="19.5" thickBot="1" x14ac:dyDescent="0.3">
      <c r="A19" s="17" t="s">
        <v>28</v>
      </c>
      <c r="B19" s="18"/>
      <c r="C19" s="19" t="s">
        <v>29</v>
      </c>
      <c r="D19" s="108"/>
      <c r="E19" s="109"/>
      <c r="F19" s="20" t="s">
        <v>30</v>
      </c>
      <c r="G19" s="21"/>
      <c r="H19" s="30" t="s">
        <v>31</v>
      </c>
      <c r="I19" s="22" t="str">
        <f>IF(G19&lt;=1,"OK","FAILED")</f>
        <v>OK</v>
      </c>
      <c r="J19" s="23">
        <f>1-G19</f>
        <v>1</v>
      </c>
    </row>
  </sheetData>
  <mergeCells count="31">
    <mergeCell ref="A2:B2"/>
    <mergeCell ref="A3:B3"/>
    <mergeCell ref="A4:B4"/>
    <mergeCell ref="A1:J1"/>
    <mergeCell ref="C2:E2"/>
    <mergeCell ref="F2:G2"/>
    <mergeCell ref="H2:J2"/>
    <mergeCell ref="C3:E3"/>
    <mergeCell ref="F3:G3"/>
    <mergeCell ref="H3:J3"/>
    <mergeCell ref="C4:E4"/>
    <mergeCell ref="F4:G4"/>
    <mergeCell ref="H4:J4"/>
    <mergeCell ref="A5:B5"/>
    <mergeCell ref="C5:E5"/>
    <mergeCell ref="H5:J5"/>
    <mergeCell ref="A7:E7"/>
    <mergeCell ref="F7:J7"/>
    <mergeCell ref="F8:G8"/>
    <mergeCell ref="H8:I8"/>
    <mergeCell ref="A9:A16"/>
    <mergeCell ref="B9:B16"/>
    <mergeCell ref="C9:C16"/>
    <mergeCell ref="D9:D16"/>
    <mergeCell ref="E9:E16"/>
    <mergeCell ref="H9:I9"/>
    <mergeCell ref="J9:J15"/>
    <mergeCell ref="A18:E18"/>
    <mergeCell ref="F18:G18"/>
    <mergeCell ref="D19:E19"/>
    <mergeCell ref="F13:G16"/>
  </mergeCells>
  <conditionalFormatting sqref="A1:XFD6 K7:XFD1048576 A17:J17 A20:J1048576">
    <cfRule type="cellIs" dxfId="8" priority="14" operator="equal">
      <formula>"Assessment not required"</formula>
    </cfRule>
    <cfRule type="cellIs" dxfId="7" priority="15" operator="equal">
      <formula>"OK"</formula>
    </cfRule>
    <cfRule type="cellIs" dxfId="6" priority="16" operator="equal">
      <formula>"FAILED"</formula>
    </cfRule>
  </conditionalFormatting>
  <conditionalFormatting sqref="G9">
    <cfRule type="cellIs" dxfId="5" priority="5" operator="equal">
      <formula>"N/A"</formula>
    </cfRule>
  </conditionalFormatting>
  <conditionalFormatting sqref="G11:G12">
    <cfRule type="cellIs" dxfId="4" priority="8" operator="equal">
      <formula>"N/A"</formula>
    </cfRule>
  </conditionalFormatting>
  <conditionalFormatting sqref="H18:I18">
    <cfRule type="cellIs" dxfId="3" priority="1" operator="equal">
      <formula>"N/A"</formula>
    </cfRule>
  </conditionalFormatting>
  <conditionalFormatting sqref="I10:I16">
    <cfRule type="cellIs" dxfId="2" priority="6" operator="equal">
      <formula>"N/A"</formula>
    </cfRule>
  </conditionalFormatting>
  <conditionalFormatting sqref="I19">
    <cfRule type="cellIs" dxfId="1" priority="2" operator="equal">
      <formula>"OK"</formula>
    </cfRule>
    <cfRule type="containsText" dxfId="0" priority="3" operator="containsText" text="FAILED">
      <formula>NOT(ISERROR(SEARCH("FAILED",I19)))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9BE6D-37E4-4A56-8135-DE8AD1DD4CDC}"/>
</file>

<file path=customXml/itemProps2.xml><?xml version="1.0" encoding="utf-8"?>
<ds:datastoreItem xmlns:ds="http://schemas.openxmlformats.org/officeDocument/2006/customXml" ds:itemID="{001CEFAF-317A-4009-95CD-3D15E0982B9C}"/>
</file>

<file path=customXml/itemProps3.xml><?xml version="1.0" encoding="utf-8"?>
<ds:datastoreItem xmlns:ds="http://schemas.openxmlformats.org/officeDocument/2006/customXml" ds:itemID="{38C61B78-B460-4AB1-AC67-9966AB746A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Input_template</vt:lpstr>
      <vt:lpstr>SA_template</vt:lpstr>
      <vt:lpstr>Fatigue_template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2020-12-04T16:44:37Z</dcterms:created>
  <dcterms:modified xsi:type="dcterms:W3CDTF">2025-02-06T09:20:21Z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