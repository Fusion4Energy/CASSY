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DATA\laghida\Documents\GitLab\cassy\src\cassy\additional_data\materials\"/>
    </mc:Choice>
  </mc:AlternateContent>
  <xr:revisionPtr revIDLastSave="0" documentId="13_ncr:1_{A02BEDE2-DBB2-415C-BF14-4BC8FCA59DD4}" xr6:coauthVersionLast="47" xr6:coauthVersionMax="47" xr10:uidLastSave="{00000000-0000-0000-0000-000000000000}"/>
  <bookViews>
    <workbookView xWindow="4466" yWindow="3171" windowWidth="21600" windowHeight="11195" tabRatio="715" firstSheet="5" activeTab="15" xr2:uid="{00000000-000D-0000-FFFF-FFFF00000000}"/>
  </bookViews>
  <sheets>
    <sheet name="Sd_nopeak" sheetId="13" r:id="rId1"/>
    <sheet name="alpha" sheetId="16" r:id="rId2"/>
    <sheet name="Young Modulus" sheetId="1" r:id="rId3"/>
    <sheet name="Fatigue Curves" sheetId="2" r:id="rId4"/>
    <sheet name="Sm" sheetId="7" r:id="rId5"/>
    <sheet name="Keff_rec" sheetId="8" r:id="rId6"/>
    <sheet name="Sy_min" sheetId="9" r:id="rId7"/>
    <sheet name="Sy_moy" sheetId="17" r:id="rId8"/>
    <sheet name="Su_min" sheetId="10" r:id="rId9"/>
    <sheet name="Sd" sheetId="11" r:id="rId10"/>
    <sheet name="Se" sheetId="12" r:id="rId11"/>
    <sheet name="Keps" sheetId="3" r:id="rId12"/>
    <sheet name="Kmu" sheetId="4" r:id="rId13"/>
    <sheet name="K-m" sheetId="5" r:id="rId14"/>
    <sheet name="Nu" sheetId="6" r:id="rId15"/>
    <sheet name="TrueStressStrain" sheetId="14" r:id="rId16"/>
    <sheet name="TrueStressStrain2" sheetId="15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7" l="1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</calcChain>
</file>

<file path=xl/sharedStrings.xml><?xml version="1.0" encoding="utf-8"?>
<sst xmlns="http://schemas.openxmlformats.org/spreadsheetml/2006/main" count="292" uniqueCount="38">
  <si>
    <t>T</t>
  </si>
  <si>
    <t>E [GPa]</t>
  </si>
  <si>
    <t>Ref:</t>
  </si>
  <si>
    <t>Table A.S03.2.2-1:</t>
  </si>
  <si>
    <t>Ncycles</t>
  </si>
  <si>
    <t>A.S03.5.6</t>
  </si>
  <si>
    <t>to use also for irradiated materials up to 10 dpa and below 400°C</t>
  </si>
  <si>
    <t>Dstot</t>
  </si>
  <si>
    <t>K mu</t>
  </si>
  <si>
    <t>K eps</t>
  </si>
  <si>
    <t>K</t>
  </si>
  <si>
    <t>m</t>
  </si>
  <si>
    <t>Poisson ratio</t>
  </si>
  <si>
    <t>T [°C]</t>
  </si>
  <si>
    <r>
      <t>S</t>
    </r>
    <r>
      <rPr>
        <b/>
        <vertAlign val="subscript"/>
        <sz val="10"/>
        <color theme="1"/>
        <rFont val="Arial"/>
        <family val="2"/>
      </rPr>
      <t>m,irr</t>
    </r>
    <r>
      <rPr>
        <b/>
        <sz val="10"/>
        <color theme="1"/>
        <rFont val="Arial"/>
        <family val="2"/>
      </rPr>
      <t xml:space="preserve"> [MPa]</t>
    </r>
  </si>
  <si>
    <t>DPA</t>
  </si>
  <si>
    <t>dpa</t>
  </si>
  <si>
    <t>Su, min [Mpa]</t>
  </si>
  <si>
    <t>Sy,min [MPa]</t>
  </si>
  <si>
    <t>No limit</t>
  </si>
  <si>
    <t>Se, irr [MPa]</t>
  </si>
  <si>
    <t>Keff,rec</t>
  </si>
  <si>
    <t>Sd, irr [Mpa]</t>
  </si>
  <si>
    <t>strain</t>
  </si>
  <si>
    <t>20strain</t>
  </si>
  <si>
    <t>20stress</t>
  </si>
  <si>
    <t>100strain</t>
  </si>
  <si>
    <t>100stress</t>
  </si>
  <si>
    <t>200strain</t>
  </si>
  <si>
    <t>200stress</t>
  </si>
  <si>
    <t>250strain</t>
  </si>
  <si>
    <t>250stress</t>
  </si>
  <si>
    <t>300stress</t>
  </si>
  <si>
    <t>300strain</t>
  </si>
  <si>
    <t>limit</t>
  </si>
  <si>
    <t>Table A.S03.2.1-1</t>
  </si>
  <si>
    <t>alpha [1/K]</t>
  </si>
  <si>
    <t>Sy,moy [MPa]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</si>
</sst>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color indexed="11"/>
      <name val="Arial"/>
      <family val="2"/>
    </font>
    <font>
      <b/>
      <sz val="10"/>
      <name val="Symbol"/>
      <family val="1"/>
      <charset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color indexed="11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1" fontId="5" fillId="2" borderId="18" xfId="0" applyNumberFormat="1" applyFont="1" applyFill="1" applyBorder="1" applyAlignment="1">
      <alignment horizontal="center" vertical="center"/>
    </xf>
    <xf numFmtId="11" fontId="5" fillId="2" borderId="19" xfId="0" applyNumberFormat="1" applyFont="1" applyFill="1" applyBorder="1" applyAlignment="1">
      <alignment horizontal="center" vertical="center"/>
    </xf>
    <xf numFmtId="11" fontId="6" fillId="2" borderId="19" xfId="0" applyNumberFormat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>
      <alignment horizontal="center" vertical="center"/>
    </xf>
    <xf numFmtId="11" fontId="3" fillId="3" borderId="22" xfId="0" applyNumberFormat="1" applyFont="1" applyFill="1" applyBorder="1" applyAlignment="1" applyProtection="1">
      <alignment horizontal="center" vertical="center"/>
      <protection locked="0"/>
    </xf>
    <xf numFmtId="11" fontId="3" fillId="3" borderId="7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Protection="1">
      <protection locked="0"/>
    </xf>
    <xf numFmtId="0" fontId="3" fillId="3" borderId="6" xfId="0" applyFont="1" applyFill="1" applyBorder="1" applyProtection="1">
      <protection locked="0"/>
    </xf>
    <xf numFmtId="0" fontId="2" fillId="2" borderId="2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8" fillId="5" borderId="25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8" fillId="5" borderId="26" xfId="0" applyNumberFormat="1" applyFont="1" applyFill="1" applyBorder="1" applyAlignment="1">
      <alignment horizontal="center" vertical="center"/>
    </xf>
    <xf numFmtId="0" fontId="1" fillId="0" borderId="0" xfId="0" applyFont="1"/>
    <xf numFmtId="0" fontId="8" fillId="4" borderId="42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8" fillId="5" borderId="45" xfId="0" applyFont="1" applyFill="1" applyBorder="1" applyAlignment="1">
      <alignment horizontal="center" vertical="center"/>
    </xf>
    <xf numFmtId="0" fontId="8" fillId="5" borderId="46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9" fillId="5" borderId="37" xfId="0" applyFont="1" applyFill="1" applyBorder="1" applyAlignment="1">
      <alignment horizontal="center" vertical="center"/>
    </xf>
    <xf numFmtId="164" fontId="9" fillId="5" borderId="38" xfId="0" applyNumberFormat="1" applyFont="1" applyFill="1" applyBorder="1" applyAlignment="1">
      <alignment horizontal="center" vertical="center"/>
    </xf>
    <xf numFmtId="164" fontId="9" fillId="5" borderId="39" xfId="0" applyNumberFormat="1" applyFont="1" applyFill="1" applyBorder="1" applyAlignment="1">
      <alignment horizontal="center" vertical="center"/>
    </xf>
    <xf numFmtId="164" fontId="9" fillId="5" borderId="40" xfId="0" applyNumberFormat="1" applyFont="1" applyFill="1" applyBorder="1" applyAlignment="1">
      <alignment horizontal="center" vertical="center"/>
    </xf>
    <xf numFmtId="0" fontId="9" fillId="5" borderId="41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8" fillId="4" borderId="46" xfId="0" applyFont="1" applyFill="1" applyBorder="1" applyAlignment="1">
      <alignment horizontal="center" vertical="center"/>
    </xf>
    <xf numFmtId="1" fontId="8" fillId="5" borderId="45" xfId="0" applyNumberFormat="1" applyFont="1" applyFill="1" applyBorder="1" applyAlignment="1">
      <alignment horizontal="center" vertical="center"/>
    </xf>
    <xf numFmtId="1" fontId="8" fillId="5" borderId="46" xfId="0" applyNumberFormat="1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1" fontId="8" fillId="5" borderId="47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" fontId="0" fillId="0" borderId="0" xfId="0" applyNumberFormat="1"/>
    <xf numFmtId="1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1" fillId="6" borderId="24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9" fillId="6" borderId="12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B25" sqref="B25"/>
    </sheetView>
  </sheetViews>
  <sheetFormatPr defaultRowHeight="14.6" x14ac:dyDescent="0.4"/>
  <cols>
    <col min="1" max="1" width="11.53515625" customWidth="1"/>
  </cols>
  <sheetData>
    <row r="1" spans="1:12" x14ac:dyDescent="0.4">
      <c r="A1" t="s">
        <v>22</v>
      </c>
    </row>
    <row r="2" spans="1:12" x14ac:dyDescent="0.4">
      <c r="A2" s="55"/>
      <c r="B2" s="81" t="s">
        <v>16</v>
      </c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2" ht="15" thickBot="1" x14ac:dyDescent="0.45">
      <c r="A3" s="65" t="s">
        <v>13</v>
      </c>
      <c r="B3" s="66">
        <v>0</v>
      </c>
      <c r="C3" s="67">
        <v>0.5</v>
      </c>
      <c r="D3" s="67">
        <v>1</v>
      </c>
      <c r="E3" s="67">
        <v>1.5</v>
      </c>
      <c r="F3" s="67">
        <v>2</v>
      </c>
      <c r="G3" s="67">
        <v>2.5</v>
      </c>
      <c r="H3" s="67">
        <v>3</v>
      </c>
      <c r="I3" s="67">
        <v>3.5</v>
      </c>
      <c r="J3" s="67">
        <v>4</v>
      </c>
      <c r="K3" s="67">
        <v>4.5</v>
      </c>
      <c r="L3" s="68">
        <v>5</v>
      </c>
    </row>
    <row r="4" spans="1:12" ht="15" thickBot="1" x14ac:dyDescent="0.45">
      <c r="A4" s="69">
        <v>20</v>
      </c>
      <c r="B4" s="56" t="s">
        <v>19</v>
      </c>
      <c r="C4" s="57" t="s">
        <v>19</v>
      </c>
      <c r="D4" s="57" t="s">
        <v>19</v>
      </c>
      <c r="E4" s="57" t="s">
        <v>19</v>
      </c>
      <c r="F4" s="57" t="s">
        <v>19</v>
      </c>
      <c r="G4" s="57" t="s">
        <v>19</v>
      </c>
      <c r="H4" s="57" t="s">
        <v>19</v>
      </c>
      <c r="I4" s="57" t="s">
        <v>19</v>
      </c>
      <c r="J4" s="57" t="s">
        <v>19</v>
      </c>
      <c r="K4" s="57" t="s">
        <v>19</v>
      </c>
      <c r="L4" s="58" t="s">
        <v>19</v>
      </c>
    </row>
    <row r="5" spans="1:12" ht="15" thickBot="1" x14ac:dyDescent="0.45">
      <c r="A5" s="70">
        <v>50</v>
      </c>
      <c r="B5" s="59" t="s">
        <v>19</v>
      </c>
      <c r="C5" s="60" t="s">
        <v>19</v>
      </c>
      <c r="D5" s="60" t="s">
        <v>19</v>
      </c>
      <c r="E5" s="60" t="s">
        <v>19</v>
      </c>
      <c r="F5" s="60" t="s">
        <v>19</v>
      </c>
      <c r="G5" s="60" t="s">
        <v>19</v>
      </c>
      <c r="H5" s="60" t="s">
        <v>19</v>
      </c>
      <c r="I5" s="60" t="s">
        <v>19</v>
      </c>
      <c r="J5" s="60" t="s">
        <v>19</v>
      </c>
      <c r="K5" s="60" t="s">
        <v>19</v>
      </c>
      <c r="L5" s="72" t="s">
        <v>19</v>
      </c>
    </row>
    <row r="6" spans="1:12" ht="15" thickBot="1" x14ac:dyDescent="0.45">
      <c r="A6" s="70">
        <v>100</v>
      </c>
      <c r="B6" s="59" t="s">
        <v>19</v>
      </c>
      <c r="C6" s="60" t="s">
        <v>19</v>
      </c>
      <c r="D6" s="60" t="s">
        <v>19</v>
      </c>
      <c r="E6" s="60" t="s">
        <v>19</v>
      </c>
      <c r="F6" s="60" t="s">
        <v>19</v>
      </c>
      <c r="G6" s="60" t="s">
        <v>19</v>
      </c>
      <c r="H6" s="60" t="s">
        <v>19</v>
      </c>
      <c r="I6" s="60" t="s">
        <v>19</v>
      </c>
      <c r="J6" s="60" t="s">
        <v>19</v>
      </c>
      <c r="K6" s="60" t="s">
        <v>19</v>
      </c>
      <c r="L6" s="72" t="s">
        <v>19</v>
      </c>
    </row>
    <row r="7" spans="1:12" ht="15" thickBot="1" x14ac:dyDescent="0.45">
      <c r="A7" s="70">
        <v>150</v>
      </c>
      <c r="B7" s="59" t="s">
        <v>19</v>
      </c>
      <c r="C7" s="60" t="s">
        <v>19</v>
      </c>
      <c r="D7" s="60" t="s">
        <v>19</v>
      </c>
      <c r="E7" s="60" t="s">
        <v>19</v>
      </c>
      <c r="F7" s="60" t="s">
        <v>19</v>
      </c>
      <c r="G7" s="60" t="s">
        <v>19</v>
      </c>
      <c r="H7" s="60" t="s">
        <v>19</v>
      </c>
      <c r="I7" s="60" t="s">
        <v>19</v>
      </c>
      <c r="J7" s="60" t="s">
        <v>19</v>
      </c>
      <c r="K7" s="73">
        <v>411.01</v>
      </c>
      <c r="L7" s="74">
        <v>411.02</v>
      </c>
    </row>
    <row r="8" spans="1:12" ht="15" thickBot="1" x14ac:dyDescent="0.45">
      <c r="A8" s="70">
        <v>200</v>
      </c>
      <c r="B8" s="59" t="s">
        <v>19</v>
      </c>
      <c r="C8" s="60" t="s">
        <v>19</v>
      </c>
      <c r="D8" s="60" t="s">
        <v>19</v>
      </c>
      <c r="E8" s="60" t="s">
        <v>19</v>
      </c>
      <c r="F8" s="60" t="s">
        <v>19</v>
      </c>
      <c r="G8" s="60" t="s">
        <v>19</v>
      </c>
      <c r="H8" s="60" t="s">
        <v>19</v>
      </c>
      <c r="I8" s="61">
        <v>419</v>
      </c>
      <c r="J8" s="61">
        <v>423</v>
      </c>
      <c r="K8" s="61">
        <v>427</v>
      </c>
      <c r="L8" s="62">
        <v>429</v>
      </c>
    </row>
    <row r="9" spans="1:12" ht="15" thickBot="1" x14ac:dyDescent="0.45">
      <c r="A9" s="70">
        <v>250</v>
      </c>
      <c r="B9" s="59" t="s">
        <v>19</v>
      </c>
      <c r="C9" s="60" t="s">
        <v>19</v>
      </c>
      <c r="D9" s="60" t="s">
        <v>19</v>
      </c>
      <c r="E9" s="60" t="s">
        <v>19</v>
      </c>
      <c r="F9" s="60" t="s">
        <v>19</v>
      </c>
      <c r="G9" s="60" t="s">
        <v>19</v>
      </c>
      <c r="H9" s="73">
        <v>419.01</v>
      </c>
      <c r="I9" s="73">
        <v>427.01</v>
      </c>
      <c r="J9" s="73">
        <v>435.01</v>
      </c>
      <c r="K9" s="73">
        <v>442.01</v>
      </c>
      <c r="L9" s="74">
        <v>449.01</v>
      </c>
    </row>
    <row r="10" spans="1:12" ht="15" thickBot="1" x14ac:dyDescent="0.45">
      <c r="A10" s="70">
        <v>300</v>
      </c>
      <c r="B10" s="59" t="s">
        <v>19</v>
      </c>
      <c r="C10" s="60" t="s">
        <v>19</v>
      </c>
      <c r="D10" s="60" t="s">
        <v>19</v>
      </c>
      <c r="E10" s="60" t="s">
        <v>19</v>
      </c>
      <c r="F10" s="60" t="s">
        <v>19</v>
      </c>
      <c r="G10" s="60" t="s">
        <v>19</v>
      </c>
      <c r="H10" s="73">
        <v>419.02</v>
      </c>
      <c r="I10" s="73">
        <v>427.02</v>
      </c>
      <c r="J10" s="73">
        <v>435.02</v>
      </c>
      <c r="K10" s="73">
        <v>442.02</v>
      </c>
      <c r="L10" s="74">
        <v>449.02</v>
      </c>
    </row>
    <row r="11" spans="1:12" ht="15" thickBot="1" x14ac:dyDescent="0.45">
      <c r="A11" s="71">
        <v>350</v>
      </c>
      <c r="B11" s="63" t="s">
        <v>19</v>
      </c>
      <c r="C11" s="75" t="s">
        <v>19</v>
      </c>
      <c r="D11" s="75" t="s">
        <v>19</v>
      </c>
      <c r="E11" s="75" t="s">
        <v>19</v>
      </c>
      <c r="F11" s="75" t="s">
        <v>19</v>
      </c>
      <c r="G11" s="75" t="s">
        <v>19</v>
      </c>
      <c r="H11" s="54">
        <v>419.03</v>
      </c>
      <c r="I11" s="54">
        <v>427.03</v>
      </c>
      <c r="J11" s="54">
        <v>435.03</v>
      </c>
      <c r="K11" s="54">
        <v>442.03</v>
      </c>
      <c r="L11" s="76">
        <v>449.03</v>
      </c>
    </row>
  </sheetData>
  <mergeCells count="1"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>
      <selection activeCell="C26" sqref="C26"/>
    </sheetView>
  </sheetViews>
  <sheetFormatPr defaultColWidth="8.84375" defaultRowHeight="14.6" x14ac:dyDescent="0.4"/>
  <cols>
    <col min="1" max="1" width="8.84375" style="2"/>
    <col min="2" max="2" width="12.69140625" style="2" customWidth="1"/>
    <col min="3" max="6" width="8.84375" style="2"/>
    <col min="7" max="7" width="24.15234375" style="2" customWidth="1"/>
    <col min="8" max="16384" width="8.84375" style="2"/>
  </cols>
  <sheetData>
    <row r="1" spans="1:7" x14ac:dyDescent="0.4">
      <c r="A1" s="3" t="s">
        <v>0</v>
      </c>
      <c r="B1" s="3" t="s">
        <v>36</v>
      </c>
    </row>
    <row r="2" spans="1:7" x14ac:dyDescent="0.4">
      <c r="A2" s="2">
        <v>20</v>
      </c>
      <c r="B2" s="80">
        <v>1.5299999999999999E-5</v>
      </c>
    </row>
    <row r="3" spans="1:7" x14ac:dyDescent="0.4">
      <c r="A3" s="2">
        <v>50</v>
      </c>
      <c r="B3" s="80">
        <v>1.5500000000000001E-5</v>
      </c>
    </row>
    <row r="4" spans="1:7" x14ac:dyDescent="0.4">
      <c r="A4" s="2">
        <v>100</v>
      </c>
      <c r="B4" s="80">
        <v>1.59E-5</v>
      </c>
    </row>
    <row r="5" spans="1:7" x14ac:dyDescent="0.4">
      <c r="A5" s="2">
        <v>150</v>
      </c>
      <c r="B5" s="80">
        <v>1.6200000000000001E-5</v>
      </c>
      <c r="F5" s="2" t="s">
        <v>2</v>
      </c>
      <c r="G5" s="2" t="s">
        <v>35</v>
      </c>
    </row>
    <row r="6" spans="1:7" x14ac:dyDescent="0.4">
      <c r="A6" s="2">
        <v>200</v>
      </c>
      <c r="B6" s="80">
        <v>1.66E-5</v>
      </c>
    </row>
    <row r="7" spans="1:7" x14ac:dyDescent="0.4">
      <c r="A7" s="2">
        <v>250</v>
      </c>
      <c r="B7" s="80">
        <v>1.6900000000000001E-5</v>
      </c>
    </row>
    <row r="8" spans="1:7" x14ac:dyDescent="0.4">
      <c r="A8" s="2">
        <v>300</v>
      </c>
      <c r="B8" s="80">
        <v>1.7200000000000001E-5</v>
      </c>
    </row>
    <row r="9" spans="1:7" x14ac:dyDescent="0.4">
      <c r="A9" s="2">
        <v>350</v>
      </c>
      <c r="B9" s="80">
        <v>1.7499999999999998E-5</v>
      </c>
    </row>
    <row r="10" spans="1:7" x14ac:dyDescent="0.4">
      <c r="A10" s="2">
        <v>400</v>
      </c>
      <c r="B10" s="80">
        <v>1.7E-5</v>
      </c>
    </row>
    <row r="11" spans="1:7" x14ac:dyDescent="0.4">
      <c r="A11" s="2">
        <v>450</v>
      </c>
      <c r="B11" s="80">
        <v>1.8E-5</v>
      </c>
    </row>
    <row r="12" spans="1:7" x14ac:dyDescent="0.4">
      <c r="A12" s="2">
        <v>500</v>
      </c>
      <c r="B12" s="80">
        <v>1.8300000000000001E-5</v>
      </c>
    </row>
    <row r="13" spans="1:7" x14ac:dyDescent="0.4">
      <c r="A13" s="2">
        <v>550</v>
      </c>
      <c r="B13" s="80">
        <v>1.8499999999999999E-5</v>
      </c>
    </row>
    <row r="14" spans="1:7" x14ac:dyDescent="0.4">
      <c r="A14" s="2">
        <v>600</v>
      </c>
      <c r="B14" s="80">
        <v>1.8700000000000001E-5</v>
      </c>
    </row>
    <row r="15" spans="1:7" x14ac:dyDescent="0.4">
      <c r="A15" s="2">
        <v>650</v>
      </c>
      <c r="B15" s="80">
        <v>1.8899999999999999E-5</v>
      </c>
    </row>
    <row r="16" spans="1:7" x14ac:dyDescent="0.4">
      <c r="A16" s="2">
        <v>700</v>
      </c>
      <c r="B16" s="80">
        <v>1.9000000000000001E-5</v>
      </c>
    </row>
    <row r="17" spans="1:2" x14ac:dyDescent="0.4">
      <c r="A17" s="2">
        <v>750</v>
      </c>
      <c r="B17" s="80">
        <v>1.9199999999999999E-5</v>
      </c>
    </row>
    <row r="18" spans="1:2" x14ac:dyDescent="0.4">
      <c r="A18" s="2">
        <v>800</v>
      </c>
      <c r="B18" s="80">
        <v>1.9300000000000002E-5</v>
      </c>
    </row>
    <row r="19" spans="1:2" x14ac:dyDescent="0.4">
      <c r="A19" s="2">
        <v>850</v>
      </c>
      <c r="B19" s="80">
        <v>1.95E-5</v>
      </c>
    </row>
    <row r="20" spans="1:2" x14ac:dyDescent="0.4">
      <c r="A20" s="2">
        <v>900</v>
      </c>
      <c r="B20" s="80">
        <v>1.9599999999999999E-5</v>
      </c>
    </row>
    <row r="21" spans="1:2" x14ac:dyDescent="0.4">
      <c r="A21" s="2">
        <v>950</v>
      </c>
      <c r="B21" s="80">
        <v>1.9700000000000001E-5</v>
      </c>
    </row>
    <row r="22" spans="1:2" x14ac:dyDescent="0.4">
      <c r="A22" s="2">
        <v>1000</v>
      </c>
      <c r="B22" s="80">
        <v>1.9700000000000001E-5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activeCell="C28" sqref="C28"/>
    </sheetView>
  </sheetViews>
  <sheetFormatPr defaultColWidth="8.84375" defaultRowHeight="14.6" x14ac:dyDescent="0.4"/>
  <cols>
    <col min="1" max="6" width="8.84375" style="2"/>
    <col min="7" max="7" width="24.15234375" style="2" customWidth="1"/>
    <col min="8" max="16384" width="8.84375" style="2"/>
  </cols>
  <sheetData>
    <row r="1" spans="1:7" x14ac:dyDescent="0.4">
      <c r="A1" s="3" t="s">
        <v>0</v>
      </c>
      <c r="B1" s="3" t="s">
        <v>1</v>
      </c>
    </row>
    <row r="2" spans="1:7" x14ac:dyDescent="0.4">
      <c r="A2" s="2">
        <v>20</v>
      </c>
      <c r="B2" s="2">
        <v>200</v>
      </c>
    </row>
    <row r="3" spans="1:7" x14ac:dyDescent="0.4">
      <c r="A3" s="2">
        <v>100</v>
      </c>
      <c r="B3" s="2">
        <v>193</v>
      </c>
    </row>
    <row r="4" spans="1:7" x14ac:dyDescent="0.4">
      <c r="A4" s="2">
        <v>150</v>
      </c>
      <c r="B4" s="2">
        <v>189</v>
      </c>
      <c r="F4" s="2" t="s">
        <v>2</v>
      </c>
      <c r="G4" s="2" t="s">
        <v>3</v>
      </c>
    </row>
    <row r="5" spans="1:7" x14ac:dyDescent="0.4">
      <c r="A5" s="2">
        <v>200</v>
      </c>
      <c r="B5" s="2">
        <v>185</v>
      </c>
    </row>
    <row r="6" spans="1:7" x14ac:dyDescent="0.4">
      <c r="A6" s="2">
        <v>250</v>
      </c>
      <c r="B6" s="2">
        <v>180</v>
      </c>
    </row>
    <row r="7" spans="1:7" x14ac:dyDescent="0.4">
      <c r="A7" s="2">
        <v>300</v>
      </c>
      <c r="B7" s="2">
        <v>176</v>
      </c>
    </row>
    <row r="8" spans="1:7" x14ac:dyDescent="0.4">
      <c r="A8" s="2">
        <v>350</v>
      </c>
      <c r="B8" s="2">
        <v>172</v>
      </c>
    </row>
    <row r="9" spans="1:7" x14ac:dyDescent="0.4">
      <c r="A9" s="2">
        <v>400</v>
      </c>
      <c r="B9" s="2">
        <v>168</v>
      </c>
    </row>
    <row r="10" spans="1:7" x14ac:dyDescent="0.4">
      <c r="A10" s="2">
        <v>450</v>
      </c>
      <c r="B10" s="2">
        <v>164</v>
      </c>
    </row>
    <row r="11" spans="1:7" x14ac:dyDescent="0.4">
      <c r="A11" s="2">
        <v>500</v>
      </c>
      <c r="B11" s="2">
        <v>159</v>
      </c>
    </row>
    <row r="12" spans="1:7" x14ac:dyDescent="0.4">
      <c r="A12" s="2">
        <v>550</v>
      </c>
      <c r="B12" s="2">
        <v>155</v>
      </c>
    </row>
    <row r="13" spans="1:7" x14ac:dyDescent="0.4">
      <c r="A13" s="2">
        <v>600</v>
      </c>
      <c r="B13" s="2">
        <v>151</v>
      </c>
    </row>
    <row r="14" spans="1:7" x14ac:dyDescent="0.4">
      <c r="A14" s="2">
        <v>650</v>
      </c>
      <c r="B14" s="2">
        <v>147</v>
      </c>
    </row>
    <row r="15" spans="1:7" x14ac:dyDescent="0.4">
      <c r="A15" s="2">
        <v>700</v>
      </c>
      <c r="B15" s="2">
        <v>142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workbookViewId="0">
      <selection activeCell="A25" sqref="A25:XFD25"/>
    </sheetView>
  </sheetViews>
  <sheetFormatPr defaultColWidth="8.84375" defaultRowHeight="14.6" x14ac:dyDescent="0.4"/>
  <cols>
    <col min="1" max="16384" width="8.84375" style="1"/>
  </cols>
  <sheetData>
    <row r="1" spans="1:3" x14ac:dyDescent="0.4">
      <c r="A1" s="1" t="s">
        <v>2</v>
      </c>
      <c r="B1" s="1" t="s">
        <v>5</v>
      </c>
    </row>
    <row r="2" spans="1:3" ht="43.95" customHeight="1" thickBot="1" x14ac:dyDescent="0.45">
      <c r="A2" s="84" t="s">
        <v>6</v>
      </c>
      <c r="B2" s="84"/>
      <c r="C2" s="84"/>
    </row>
    <row r="3" spans="1:3" ht="15" thickBot="1" x14ac:dyDescent="0.45">
      <c r="A3" s="4" t="s">
        <v>23</v>
      </c>
      <c r="B3" s="82" t="s">
        <v>0</v>
      </c>
      <c r="C3" s="83"/>
    </row>
    <row r="4" spans="1:3" ht="15" thickBot="1" x14ac:dyDescent="0.45">
      <c r="A4" s="10" t="s">
        <v>4</v>
      </c>
      <c r="B4" s="8">
        <v>20</v>
      </c>
      <c r="C4" s="9">
        <v>450</v>
      </c>
    </row>
    <row r="5" spans="1:3" x14ac:dyDescent="0.4">
      <c r="A5" s="11">
        <v>10</v>
      </c>
      <c r="B5" s="1">
        <v>4.2910000000000004</v>
      </c>
      <c r="C5" s="7">
        <v>2.552</v>
      </c>
    </row>
    <row r="6" spans="1:3" x14ac:dyDescent="0.4">
      <c r="A6" s="11">
        <v>20</v>
      </c>
      <c r="B6" s="1">
        <v>2.7549999999999999</v>
      </c>
      <c r="C6" s="7">
        <v>1.931</v>
      </c>
    </row>
    <row r="7" spans="1:3" x14ac:dyDescent="0.4">
      <c r="A7" s="11">
        <v>40</v>
      </c>
      <c r="B7" s="1">
        <v>1.931</v>
      </c>
      <c r="C7" s="7">
        <v>1.4850000000000001</v>
      </c>
    </row>
    <row r="8" spans="1:3" x14ac:dyDescent="0.4">
      <c r="A8" s="11">
        <v>100</v>
      </c>
      <c r="B8" s="1">
        <v>1.331</v>
      </c>
      <c r="C8" s="7">
        <v>1.08</v>
      </c>
    </row>
    <row r="9" spans="1:3" x14ac:dyDescent="0.4">
      <c r="A9" s="11">
        <v>200</v>
      </c>
      <c r="B9" s="1">
        <v>1.0569999999999999</v>
      </c>
      <c r="C9" s="7">
        <v>0.86899999999999999</v>
      </c>
    </row>
    <row r="10" spans="1:3" x14ac:dyDescent="0.4">
      <c r="A10" s="11">
        <v>400</v>
      </c>
      <c r="B10" s="1">
        <v>0.85299999999999998</v>
      </c>
      <c r="C10" s="7">
        <v>0.71499999999999997</v>
      </c>
    </row>
    <row r="11" spans="1:3" x14ac:dyDescent="0.4">
      <c r="A11" s="11">
        <v>1000</v>
      </c>
      <c r="B11" s="1">
        <v>0.69799999999999995</v>
      </c>
      <c r="C11" s="7">
        <v>0.57799999999999996</v>
      </c>
    </row>
    <row r="12" spans="1:3" x14ac:dyDescent="0.4">
      <c r="A12" s="11">
        <v>2000</v>
      </c>
      <c r="B12" s="1">
        <v>0.59</v>
      </c>
      <c r="C12" s="7">
        <v>0.48799999999999999</v>
      </c>
    </row>
    <row r="13" spans="1:3" x14ac:dyDescent="0.4">
      <c r="A13" s="11">
        <v>4000</v>
      </c>
      <c r="B13" s="1">
        <v>0.498</v>
      </c>
      <c r="C13" s="7">
        <v>0.41199999999999998</v>
      </c>
    </row>
    <row r="14" spans="1:3" x14ac:dyDescent="0.4">
      <c r="A14" s="11">
        <v>10000</v>
      </c>
      <c r="B14" s="1">
        <v>0.39900000000000002</v>
      </c>
      <c r="C14" s="7">
        <v>0.33</v>
      </c>
    </row>
    <row r="15" spans="1:3" x14ac:dyDescent="0.4">
      <c r="A15" s="11">
        <v>20000</v>
      </c>
      <c r="B15" s="1">
        <v>0.34100000000000003</v>
      </c>
      <c r="C15" s="7">
        <v>0.28199999999999997</v>
      </c>
    </row>
    <row r="16" spans="1:3" x14ac:dyDescent="0.4">
      <c r="A16" s="11">
        <v>40000</v>
      </c>
      <c r="B16" s="1">
        <v>0.30099999999999999</v>
      </c>
      <c r="C16" s="7">
        <v>0.249</v>
      </c>
    </row>
    <row r="17" spans="1:3" x14ac:dyDescent="0.4">
      <c r="A17" s="11">
        <v>100000</v>
      </c>
      <c r="B17" s="1">
        <v>0.26700000000000002</v>
      </c>
      <c r="C17" s="7">
        <v>0.221</v>
      </c>
    </row>
    <row r="18" spans="1:3" x14ac:dyDescent="0.4">
      <c r="A18" s="11">
        <v>200000</v>
      </c>
      <c r="B18" s="1">
        <v>0.25</v>
      </c>
      <c r="C18" s="7">
        <v>0.20699999999999999</v>
      </c>
    </row>
    <row r="19" spans="1:3" x14ac:dyDescent="0.4">
      <c r="A19" s="11">
        <v>400000</v>
      </c>
      <c r="B19" s="1">
        <v>0.23799999999999999</v>
      </c>
      <c r="C19" s="7">
        <v>0.19700000000000001</v>
      </c>
    </row>
    <row r="20" spans="1:3" x14ac:dyDescent="0.4">
      <c r="A20" s="11">
        <v>1000000</v>
      </c>
      <c r="B20" s="1">
        <v>0.22500000000000001</v>
      </c>
      <c r="C20" s="7">
        <v>0.186</v>
      </c>
    </row>
    <row r="21" spans="1:3" x14ac:dyDescent="0.4">
      <c r="A21" s="11">
        <v>5000000</v>
      </c>
      <c r="B21" s="1">
        <v>0.20300000000000001</v>
      </c>
      <c r="C21" s="7">
        <v>0.16800000000000001</v>
      </c>
    </row>
    <row r="22" spans="1:3" x14ac:dyDescent="0.4">
      <c r="A22" s="11">
        <v>10000000</v>
      </c>
      <c r="B22" s="1">
        <v>0.192</v>
      </c>
      <c r="C22" s="7">
        <v>0.159</v>
      </c>
    </row>
    <row r="23" spans="1:3" x14ac:dyDescent="0.4">
      <c r="A23" s="11">
        <v>50000000</v>
      </c>
      <c r="B23" s="1">
        <v>0.16900000000000001</v>
      </c>
      <c r="C23" s="7">
        <v>0.14000000000000001</v>
      </c>
    </row>
    <row r="24" spans="1:3" ht="15" thickBot="1" x14ac:dyDescent="0.45">
      <c r="A24" s="12">
        <v>100000000</v>
      </c>
      <c r="B24" s="5">
        <v>0.16500000000000001</v>
      </c>
      <c r="C24" s="6">
        <v>0.13600000000000001</v>
      </c>
    </row>
  </sheetData>
  <mergeCells count="2">
    <mergeCell ref="B3:C3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workbookViewId="0">
      <selection activeCell="A31" sqref="A31:XFD31"/>
    </sheetView>
  </sheetViews>
  <sheetFormatPr defaultRowHeight="14.6" x14ac:dyDescent="0.4"/>
  <cols>
    <col min="3" max="3" width="10.84375" customWidth="1"/>
  </cols>
  <sheetData>
    <row r="1" spans="1:8" ht="15.45" thickBot="1" x14ac:dyDescent="0.45">
      <c r="A1" s="87" t="s">
        <v>14</v>
      </c>
      <c r="B1" s="88"/>
      <c r="C1" s="89"/>
    </row>
    <row r="2" spans="1:8" ht="15" thickBot="1" x14ac:dyDescent="0.45">
      <c r="A2" s="51"/>
      <c r="B2" s="85" t="s">
        <v>15</v>
      </c>
      <c r="C2" s="86"/>
    </row>
    <row r="3" spans="1:8" ht="15" thickBot="1" x14ac:dyDescent="0.45">
      <c r="A3" s="46" t="s">
        <v>13</v>
      </c>
      <c r="B3" s="52">
        <v>0</v>
      </c>
      <c r="C3" s="50">
        <v>100</v>
      </c>
    </row>
    <row r="4" spans="1:8" x14ac:dyDescent="0.4">
      <c r="A4" s="47">
        <v>20</v>
      </c>
      <c r="B4" s="42">
        <v>147</v>
      </c>
      <c r="C4" s="38">
        <f>B4</f>
        <v>147</v>
      </c>
    </row>
    <row r="5" spans="1:8" x14ac:dyDescent="0.4">
      <c r="A5" s="48">
        <v>50</v>
      </c>
      <c r="B5" s="43">
        <v>147</v>
      </c>
      <c r="C5" s="39">
        <f t="shared" ref="C5:C30" si="0">B5</f>
        <v>147</v>
      </c>
    </row>
    <row r="6" spans="1:8" x14ac:dyDescent="0.4">
      <c r="A6" s="48">
        <v>75</v>
      </c>
      <c r="B6" s="43">
        <v>147</v>
      </c>
      <c r="C6" s="39">
        <f t="shared" si="0"/>
        <v>147</v>
      </c>
    </row>
    <row r="7" spans="1:8" x14ac:dyDescent="0.4">
      <c r="A7" s="48">
        <v>100</v>
      </c>
      <c r="B7" s="43">
        <v>147</v>
      </c>
      <c r="C7" s="39">
        <f t="shared" si="0"/>
        <v>147</v>
      </c>
      <c r="H7" s="79"/>
    </row>
    <row r="8" spans="1:8" x14ac:dyDescent="0.4">
      <c r="A8" s="48">
        <v>125</v>
      </c>
      <c r="B8" s="43">
        <v>147</v>
      </c>
      <c r="C8" s="39">
        <f t="shared" si="0"/>
        <v>147</v>
      </c>
    </row>
    <row r="9" spans="1:8" x14ac:dyDescent="0.4">
      <c r="A9" s="48">
        <v>150</v>
      </c>
      <c r="B9" s="43">
        <v>141</v>
      </c>
      <c r="C9" s="39">
        <f t="shared" si="0"/>
        <v>141</v>
      </c>
    </row>
    <row r="10" spans="1:8" x14ac:dyDescent="0.4">
      <c r="A10" s="48">
        <v>175</v>
      </c>
      <c r="B10" s="44">
        <v>135</v>
      </c>
      <c r="C10" s="40">
        <f t="shared" si="0"/>
        <v>135</v>
      </c>
    </row>
    <row r="11" spans="1:8" x14ac:dyDescent="0.4">
      <c r="A11" s="48">
        <v>200</v>
      </c>
      <c r="B11" s="44">
        <v>130</v>
      </c>
      <c r="C11" s="40">
        <f t="shared" si="0"/>
        <v>130</v>
      </c>
    </row>
    <row r="12" spans="1:8" x14ac:dyDescent="0.4">
      <c r="A12" s="48">
        <v>225</v>
      </c>
      <c r="B12" s="44">
        <v>125</v>
      </c>
      <c r="C12" s="40">
        <f t="shared" si="0"/>
        <v>125</v>
      </c>
    </row>
    <row r="13" spans="1:8" x14ac:dyDescent="0.4">
      <c r="A13" s="48">
        <v>250</v>
      </c>
      <c r="B13" s="44">
        <v>121</v>
      </c>
      <c r="C13" s="40">
        <f t="shared" si="0"/>
        <v>121</v>
      </c>
    </row>
    <row r="14" spans="1:8" x14ac:dyDescent="0.4">
      <c r="A14" s="48">
        <v>275</v>
      </c>
      <c r="B14" s="44">
        <v>118</v>
      </c>
      <c r="C14" s="40">
        <f t="shared" si="0"/>
        <v>118</v>
      </c>
    </row>
    <row r="15" spans="1:8" x14ac:dyDescent="0.4">
      <c r="A15" s="48">
        <v>300</v>
      </c>
      <c r="B15" s="44">
        <v>115</v>
      </c>
      <c r="C15" s="40">
        <f t="shared" si="0"/>
        <v>115</v>
      </c>
    </row>
    <row r="16" spans="1:8" x14ac:dyDescent="0.4">
      <c r="A16" s="48">
        <v>325</v>
      </c>
      <c r="B16" s="44">
        <v>112</v>
      </c>
      <c r="C16" s="40">
        <f t="shared" si="0"/>
        <v>112</v>
      </c>
    </row>
    <row r="17" spans="1:3" x14ac:dyDescent="0.4">
      <c r="A17" s="48">
        <v>350</v>
      </c>
      <c r="B17" s="44">
        <v>109</v>
      </c>
      <c r="C17" s="40">
        <f t="shared" si="0"/>
        <v>109</v>
      </c>
    </row>
    <row r="18" spans="1:3" x14ac:dyDescent="0.4">
      <c r="A18" s="48">
        <v>375</v>
      </c>
      <c r="B18" s="44">
        <v>107</v>
      </c>
      <c r="C18" s="40">
        <f t="shared" si="0"/>
        <v>107</v>
      </c>
    </row>
    <row r="19" spans="1:3" x14ac:dyDescent="0.4">
      <c r="A19" s="48">
        <v>400</v>
      </c>
      <c r="B19" s="44">
        <v>105</v>
      </c>
      <c r="C19" s="40">
        <f t="shared" si="0"/>
        <v>105</v>
      </c>
    </row>
    <row r="20" spans="1:3" x14ac:dyDescent="0.4">
      <c r="A20" s="48">
        <v>425</v>
      </c>
      <c r="B20" s="44">
        <v>103</v>
      </c>
      <c r="C20" s="40">
        <f t="shared" si="0"/>
        <v>103</v>
      </c>
    </row>
    <row r="21" spans="1:3" x14ac:dyDescent="0.4">
      <c r="A21" s="48">
        <v>450</v>
      </c>
      <c r="B21" s="44">
        <v>101</v>
      </c>
      <c r="C21" s="40">
        <f t="shared" si="0"/>
        <v>101</v>
      </c>
    </row>
    <row r="22" spans="1:3" x14ac:dyDescent="0.4">
      <c r="A22" s="48">
        <v>475</v>
      </c>
      <c r="B22" s="44">
        <v>99</v>
      </c>
      <c r="C22" s="40">
        <f t="shared" si="0"/>
        <v>99</v>
      </c>
    </row>
    <row r="23" spans="1:3" x14ac:dyDescent="0.4">
      <c r="A23" s="48">
        <v>500</v>
      </c>
      <c r="B23" s="45">
        <v>97</v>
      </c>
      <c r="C23" s="41">
        <f t="shared" si="0"/>
        <v>97</v>
      </c>
    </row>
    <row r="24" spans="1:3" x14ac:dyDescent="0.4">
      <c r="A24" s="48">
        <v>525</v>
      </c>
      <c r="B24" s="45">
        <v>97</v>
      </c>
      <c r="C24" s="41">
        <f t="shared" si="0"/>
        <v>97</v>
      </c>
    </row>
    <row r="25" spans="1:3" x14ac:dyDescent="0.4">
      <c r="A25" s="48">
        <v>550</v>
      </c>
      <c r="B25" s="45">
        <v>96</v>
      </c>
      <c r="C25" s="41">
        <f t="shared" si="0"/>
        <v>96</v>
      </c>
    </row>
    <row r="26" spans="1:3" x14ac:dyDescent="0.4">
      <c r="A26" s="48">
        <v>575</v>
      </c>
      <c r="B26" s="45">
        <v>96</v>
      </c>
      <c r="C26" s="41">
        <f t="shared" si="0"/>
        <v>96</v>
      </c>
    </row>
    <row r="27" spans="1:3" x14ac:dyDescent="0.4">
      <c r="A27" s="48">
        <v>600</v>
      </c>
      <c r="B27" s="45">
        <v>95</v>
      </c>
      <c r="C27" s="41">
        <f t="shared" si="0"/>
        <v>95</v>
      </c>
    </row>
    <row r="28" spans="1:3" x14ac:dyDescent="0.4">
      <c r="A28" s="49">
        <v>625</v>
      </c>
      <c r="B28" s="45">
        <v>94</v>
      </c>
      <c r="C28" s="41">
        <f t="shared" si="0"/>
        <v>94</v>
      </c>
    </row>
    <row r="29" spans="1:3" x14ac:dyDescent="0.4">
      <c r="A29" s="49">
        <v>650</v>
      </c>
      <c r="B29" s="45">
        <v>94</v>
      </c>
      <c r="C29" s="41">
        <f t="shared" si="0"/>
        <v>94</v>
      </c>
    </row>
    <row r="30" spans="1:3" x14ac:dyDescent="0.4">
      <c r="A30" s="49">
        <v>675</v>
      </c>
      <c r="B30" s="45">
        <v>93</v>
      </c>
      <c r="C30" s="41">
        <f t="shared" si="0"/>
        <v>93</v>
      </c>
    </row>
  </sheetData>
  <mergeCells count="2">
    <mergeCell ref="B2:C2"/>
    <mergeCell ref="A1:C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workbookViewId="0">
      <selection activeCell="F16" sqref="F16"/>
    </sheetView>
  </sheetViews>
  <sheetFormatPr defaultColWidth="8.84375" defaultRowHeight="14.6" x14ac:dyDescent="0.4"/>
  <cols>
    <col min="1" max="1" width="8.84375" style="1"/>
    <col min="2" max="2" width="9" style="1" customWidth="1"/>
    <col min="3" max="16384" width="8.84375" style="1"/>
  </cols>
  <sheetData>
    <row r="1" spans="1:12" x14ac:dyDescent="0.4">
      <c r="A1" s="53" t="s">
        <v>21</v>
      </c>
    </row>
    <row r="2" spans="1:12" x14ac:dyDescent="0.4">
      <c r="B2" s="81" t="s">
        <v>16</v>
      </c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2" x14ac:dyDescent="0.4">
      <c r="A3" s="53" t="s">
        <v>13</v>
      </c>
      <c r="B3" s="53">
        <v>0</v>
      </c>
      <c r="C3" s="53">
        <v>0.5</v>
      </c>
      <c r="D3" s="53">
        <v>1</v>
      </c>
      <c r="E3" s="53">
        <v>1.5</v>
      </c>
      <c r="F3" s="53">
        <v>2</v>
      </c>
      <c r="G3" s="53">
        <v>2.5</v>
      </c>
      <c r="H3" s="53">
        <v>3</v>
      </c>
      <c r="I3" s="53">
        <v>3.5</v>
      </c>
      <c r="J3" s="53">
        <v>4</v>
      </c>
      <c r="K3" s="53">
        <v>4.5</v>
      </c>
      <c r="L3" s="53">
        <v>5</v>
      </c>
    </row>
    <row r="4" spans="1:12" x14ac:dyDescent="0.4">
      <c r="A4" s="77">
        <v>0</v>
      </c>
      <c r="B4" s="78">
        <v>1.5</v>
      </c>
      <c r="C4" s="1">
        <v>1.5</v>
      </c>
      <c r="D4" s="1">
        <v>1.5</v>
      </c>
      <c r="E4" s="1">
        <v>1.5</v>
      </c>
      <c r="F4" s="1">
        <v>1.5</v>
      </c>
      <c r="G4" s="1">
        <v>1.5</v>
      </c>
      <c r="H4" s="1">
        <v>1.5</v>
      </c>
      <c r="I4" s="1">
        <v>1.5</v>
      </c>
      <c r="J4" s="1">
        <v>1.5</v>
      </c>
      <c r="K4" s="1">
        <v>1.5</v>
      </c>
      <c r="L4" s="1">
        <v>1.5</v>
      </c>
    </row>
    <row r="5" spans="1:12" x14ac:dyDescent="0.4">
      <c r="A5" s="53">
        <v>50</v>
      </c>
      <c r="B5" s="1">
        <v>1.5</v>
      </c>
      <c r="C5" s="1">
        <v>1.5</v>
      </c>
      <c r="D5" s="1">
        <v>1.5</v>
      </c>
      <c r="E5" s="1">
        <v>1.5</v>
      </c>
      <c r="F5" s="1">
        <v>1.5</v>
      </c>
      <c r="G5" s="1">
        <v>1.5</v>
      </c>
      <c r="H5" s="1">
        <v>1.5</v>
      </c>
      <c r="I5" s="1">
        <v>1.5</v>
      </c>
      <c r="J5" s="1">
        <v>1.5</v>
      </c>
      <c r="K5" s="1">
        <v>1.5</v>
      </c>
      <c r="L5" s="1">
        <v>1.5</v>
      </c>
    </row>
    <row r="6" spans="1:12" x14ac:dyDescent="0.4">
      <c r="A6" s="53">
        <v>100</v>
      </c>
      <c r="B6" s="1">
        <v>1.5</v>
      </c>
      <c r="C6" s="1">
        <v>1.5</v>
      </c>
      <c r="D6" s="1">
        <v>1.5</v>
      </c>
      <c r="E6" s="1">
        <v>1.5</v>
      </c>
      <c r="F6" s="1">
        <v>1.5</v>
      </c>
      <c r="G6" s="1">
        <v>1.5</v>
      </c>
      <c r="H6" s="1">
        <v>1.5</v>
      </c>
      <c r="I6" s="1">
        <v>1.5</v>
      </c>
      <c r="J6" s="1">
        <v>1.5</v>
      </c>
      <c r="K6" s="1">
        <v>1.5</v>
      </c>
      <c r="L6" s="1">
        <v>1.49</v>
      </c>
    </row>
    <row r="7" spans="1:12" x14ac:dyDescent="0.4">
      <c r="A7" s="53">
        <v>150</v>
      </c>
      <c r="B7" s="1">
        <v>1.5</v>
      </c>
      <c r="C7" s="1">
        <v>1.5</v>
      </c>
      <c r="D7" s="1">
        <v>1.5</v>
      </c>
      <c r="E7" s="1">
        <v>1.5</v>
      </c>
      <c r="F7" s="1">
        <v>1.5</v>
      </c>
      <c r="G7" s="1">
        <v>1.5</v>
      </c>
      <c r="H7" s="1">
        <v>1.5</v>
      </c>
      <c r="I7" s="1">
        <v>1.49</v>
      </c>
      <c r="J7" s="1">
        <v>1.49</v>
      </c>
      <c r="K7" s="1">
        <v>1.47</v>
      </c>
      <c r="L7" s="1">
        <v>1.22</v>
      </c>
    </row>
    <row r="8" spans="1:12" x14ac:dyDescent="0.4">
      <c r="A8" s="53">
        <v>200</v>
      </c>
      <c r="B8" s="1">
        <v>1.5</v>
      </c>
      <c r="C8" s="1">
        <v>1.5</v>
      </c>
      <c r="D8" s="1">
        <v>1.5</v>
      </c>
      <c r="E8" s="1">
        <v>1.5</v>
      </c>
      <c r="F8" s="1">
        <v>1.5</v>
      </c>
      <c r="G8" s="1">
        <v>1.5</v>
      </c>
      <c r="H8" s="1">
        <v>1.49</v>
      </c>
      <c r="I8" s="1">
        <v>1.47</v>
      </c>
      <c r="J8" s="1">
        <v>1.21</v>
      </c>
      <c r="K8" s="1">
        <v>1.21</v>
      </c>
      <c r="L8" s="1">
        <v>1.21</v>
      </c>
    </row>
    <row r="9" spans="1:12" x14ac:dyDescent="0.4">
      <c r="A9" s="53">
        <v>250</v>
      </c>
      <c r="B9" s="1">
        <v>1.5</v>
      </c>
      <c r="C9" s="1">
        <v>1.5</v>
      </c>
      <c r="D9" s="1">
        <v>1.5</v>
      </c>
      <c r="E9" s="1">
        <v>1.5</v>
      </c>
      <c r="F9" s="1">
        <v>1.49</v>
      </c>
      <c r="G9" s="1">
        <v>1.49</v>
      </c>
      <c r="H9" s="1">
        <v>1.47</v>
      </c>
      <c r="I9" s="1">
        <v>1.2</v>
      </c>
      <c r="J9" s="1">
        <v>1.2</v>
      </c>
      <c r="K9" s="1">
        <v>1.2</v>
      </c>
      <c r="L9" s="1">
        <v>1.19</v>
      </c>
    </row>
    <row r="10" spans="1:12" x14ac:dyDescent="0.4">
      <c r="A10" s="53">
        <v>300</v>
      </c>
      <c r="B10" s="1">
        <v>1.5</v>
      </c>
      <c r="C10" s="1">
        <v>1.5</v>
      </c>
      <c r="D10" s="1">
        <v>1.5</v>
      </c>
      <c r="E10" s="1">
        <v>1.5</v>
      </c>
      <c r="F10" s="1">
        <v>1.49</v>
      </c>
      <c r="G10" s="1">
        <v>1.48</v>
      </c>
      <c r="H10" s="1">
        <v>1.21</v>
      </c>
      <c r="I10" s="1">
        <v>1.2</v>
      </c>
      <c r="J10" s="1">
        <v>1.2</v>
      </c>
      <c r="K10" s="1">
        <v>1.19</v>
      </c>
      <c r="L10" s="1">
        <v>1.19</v>
      </c>
    </row>
    <row r="11" spans="1:12" x14ac:dyDescent="0.4">
      <c r="A11" s="53">
        <v>350</v>
      </c>
      <c r="B11" s="1">
        <v>1.5</v>
      </c>
      <c r="C11" s="1">
        <v>1.5</v>
      </c>
      <c r="D11" s="1">
        <v>1.5</v>
      </c>
      <c r="E11" s="1">
        <v>1.5</v>
      </c>
      <c r="F11" s="1">
        <v>1.49</v>
      </c>
      <c r="G11" s="1">
        <v>1.48</v>
      </c>
      <c r="H11" s="1">
        <v>1.2</v>
      </c>
      <c r="I11" s="1">
        <v>1.2</v>
      </c>
      <c r="J11" s="1">
        <v>1.19</v>
      </c>
      <c r="K11" s="1">
        <v>1.19</v>
      </c>
      <c r="L11" s="1">
        <v>1.19</v>
      </c>
    </row>
  </sheetData>
  <mergeCells count="1">
    <mergeCell ref="B2:L2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18"/>
  <sheetViews>
    <sheetView topLeftCell="A11" zoomScaleNormal="100" workbookViewId="0">
      <selection activeCell="C13" sqref="C13:AW18"/>
    </sheetView>
  </sheetViews>
  <sheetFormatPr defaultColWidth="8.84375" defaultRowHeight="14.6" x14ac:dyDescent="0.4"/>
  <cols>
    <col min="1" max="2" width="13.3046875" style="1" customWidth="1"/>
    <col min="3" max="16384" width="8.84375" style="1"/>
  </cols>
  <sheetData>
    <row r="1" spans="1:49" x14ac:dyDescent="0.4">
      <c r="A1" s="1" t="s">
        <v>18</v>
      </c>
    </row>
    <row r="2" spans="1:49" x14ac:dyDescent="0.4">
      <c r="C2" s="81" t="s">
        <v>16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</row>
    <row r="3" spans="1:49" x14ac:dyDescent="0.4">
      <c r="A3" s="53" t="s">
        <v>13</v>
      </c>
      <c r="B3" s="53">
        <v>0</v>
      </c>
      <c r="C3" s="53">
        <v>0.01</v>
      </c>
      <c r="D3" s="53">
        <v>0.02</v>
      </c>
      <c r="E3" s="53">
        <v>0.03</v>
      </c>
      <c r="F3" s="53">
        <v>0.04</v>
      </c>
      <c r="G3" s="53">
        <v>0.05</v>
      </c>
      <c r="H3" s="53">
        <v>0.06</v>
      </c>
      <c r="I3" s="53">
        <v>7.0000000000000007E-2</v>
      </c>
      <c r="J3" s="53">
        <v>0.08</v>
      </c>
      <c r="K3" s="53">
        <v>0.09</v>
      </c>
      <c r="L3" s="53">
        <v>0.1</v>
      </c>
      <c r="M3" s="53">
        <v>0.11</v>
      </c>
      <c r="N3" s="53">
        <v>0.12</v>
      </c>
      <c r="O3" s="53">
        <v>0.13</v>
      </c>
      <c r="P3" s="53">
        <v>0.14000000000000001</v>
      </c>
      <c r="Q3" s="53">
        <v>0.15</v>
      </c>
      <c r="R3" s="53">
        <v>0.16</v>
      </c>
      <c r="S3" s="53">
        <v>0.17</v>
      </c>
      <c r="T3" s="53">
        <v>0.18</v>
      </c>
      <c r="U3" s="53">
        <v>0.19</v>
      </c>
      <c r="V3" s="53">
        <v>0.2</v>
      </c>
      <c r="W3" s="53">
        <v>0.21</v>
      </c>
      <c r="X3" s="53">
        <v>0.22</v>
      </c>
      <c r="Y3" s="53">
        <v>0.23</v>
      </c>
      <c r="Z3" s="53">
        <v>0.24</v>
      </c>
      <c r="AA3" s="53">
        <v>0.25</v>
      </c>
      <c r="AB3" s="53">
        <v>0.26</v>
      </c>
      <c r="AC3" s="53">
        <v>0.27</v>
      </c>
      <c r="AD3" s="53">
        <v>0.28000000000000003</v>
      </c>
      <c r="AE3" s="53">
        <v>0.28999999999999998</v>
      </c>
      <c r="AF3" s="53">
        <v>0.3</v>
      </c>
      <c r="AG3" s="53">
        <v>0.4</v>
      </c>
      <c r="AH3" s="53">
        <v>0.5</v>
      </c>
      <c r="AI3" s="53">
        <v>0.6</v>
      </c>
      <c r="AJ3" s="53">
        <v>0.7</v>
      </c>
      <c r="AK3" s="53">
        <v>0.8</v>
      </c>
      <c r="AL3" s="53">
        <v>0.9</v>
      </c>
      <c r="AM3" s="53">
        <v>1</v>
      </c>
      <c r="AN3" s="53">
        <v>2</v>
      </c>
      <c r="AO3" s="1">
        <v>2.4209999999999998</v>
      </c>
      <c r="AP3" s="1">
        <v>2.585</v>
      </c>
      <c r="AQ3" s="1">
        <v>3</v>
      </c>
      <c r="AR3" s="1">
        <v>4</v>
      </c>
      <c r="AS3" s="1">
        <v>5</v>
      </c>
      <c r="AT3" s="1">
        <v>6</v>
      </c>
      <c r="AU3" s="1">
        <v>7</v>
      </c>
      <c r="AV3" s="1">
        <v>8</v>
      </c>
      <c r="AW3" s="1">
        <v>9</v>
      </c>
    </row>
    <row r="4" spans="1:49" x14ac:dyDescent="0.4">
      <c r="A4" s="1">
        <v>20</v>
      </c>
      <c r="B4" s="1">
        <v>211.97222336319999</v>
      </c>
      <c r="C4" s="1">
        <v>248.98399980554174</v>
      </c>
      <c r="D4" s="1">
        <v>279.43577230632945</v>
      </c>
      <c r="E4" s="1">
        <v>302.01892571089411</v>
      </c>
      <c r="F4" s="1">
        <v>320.42189832372799</v>
      </c>
      <c r="G4" s="1">
        <v>336.09388810655685</v>
      </c>
      <c r="H4" s="1">
        <v>349.78868172726561</v>
      </c>
      <c r="I4" s="1">
        <v>361.96044073613382</v>
      </c>
      <c r="J4" s="1">
        <v>372.90930235489031</v>
      </c>
      <c r="K4" s="1">
        <v>382.84671564767984</v>
      </c>
      <c r="L4" s="1">
        <v>391.92881733163426</v>
      </c>
      <c r="M4" s="1">
        <v>400.27513022599032</v>
      </c>
      <c r="N4" s="1">
        <v>407.97979304139074</v>
      </c>
      <c r="O4" s="1">
        <v>415.11868191034227</v>
      </c>
      <c r="P4" s="1">
        <v>421.75412908177009</v>
      </c>
      <c r="Q4" s="1">
        <v>427.93816459512618</v>
      </c>
      <c r="R4" s="1">
        <v>433.71481186374695</v>
      </c>
      <c r="S4" s="1">
        <v>439.12175585102727</v>
      </c>
      <c r="T4" s="1">
        <v>444.19158264927989</v>
      </c>
      <c r="U4" s="1">
        <v>448.95271866089922</v>
      </c>
      <c r="V4" s="1">
        <v>453.43015445744038</v>
      </c>
      <c r="W4" s="1">
        <v>457.64601121305134</v>
      </c>
      <c r="X4" s="1">
        <v>461.61998999868797</v>
      </c>
      <c r="Y4" s="1">
        <v>465.36973253076371</v>
      </c>
      <c r="Z4" s="1">
        <v>468.91111403252182</v>
      </c>
      <c r="AA4" s="1">
        <v>472.25848337429397</v>
      </c>
      <c r="AB4" s="1">
        <v>475.42486178968329</v>
      </c>
      <c r="AC4" s="1">
        <v>478.42210869472888</v>
      </c>
      <c r="AD4" s="1">
        <v>481.26106112469097</v>
      </c>
      <c r="AE4" s="1">
        <v>483.95165182126448</v>
      </c>
      <c r="AF4" s="1">
        <v>486.50300989830384</v>
      </c>
      <c r="AG4" s="1">
        <v>505.93559873857396</v>
      </c>
      <c r="AH4" s="1">
        <v>517.78867065280281</v>
      </c>
      <c r="AI4" s="1">
        <v>525.15920560555787</v>
      </c>
      <c r="AJ4" s="1">
        <v>529.79252565866761</v>
      </c>
      <c r="AK4" s="1">
        <v>532.72402054201928</v>
      </c>
      <c r="AL4" s="1">
        <v>534.58609818804916</v>
      </c>
      <c r="AM4" s="1">
        <v>535.77178468167756</v>
      </c>
      <c r="AN4" s="1">
        <v>537.84125293923216</v>
      </c>
      <c r="AO4" s="1">
        <v>537.86147898467448</v>
      </c>
      <c r="AP4" s="1">
        <v>537.86336602211304</v>
      </c>
      <c r="AQ4" s="1">
        <v>537.86483734391447</v>
      </c>
      <c r="AR4" s="1">
        <v>537.86510688378576</v>
      </c>
      <c r="AS4" s="1">
        <v>537.86510996438449</v>
      </c>
      <c r="AT4" s="1">
        <v>537.86510999959307</v>
      </c>
      <c r="AU4" s="1">
        <v>537.86510999999541</v>
      </c>
      <c r="AV4" s="1">
        <v>537.86510999999996</v>
      </c>
      <c r="AW4" s="1">
        <v>537.86510999999996</v>
      </c>
    </row>
    <row r="5" spans="1:49" x14ac:dyDescent="0.4">
      <c r="A5" s="1">
        <v>80</v>
      </c>
      <c r="B5" s="1">
        <v>180.28760250880006</v>
      </c>
      <c r="C5" s="1">
        <v>248.98399980554174</v>
      </c>
      <c r="D5" s="1">
        <v>279.43577230632945</v>
      </c>
      <c r="E5" s="1">
        <v>302.01892571089411</v>
      </c>
      <c r="F5" s="1">
        <v>320.42189832372799</v>
      </c>
      <c r="G5" s="1">
        <v>336.09388810655685</v>
      </c>
      <c r="H5" s="1">
        <v>349.78868172726561</v>
      </c>
      <c r="I5" s="1">
        <v>361.96044073613382</v>
      </c>
      <c r="J5" s="1">
        <v>372.90930235489031</v>
      </c>
      <c r="K5" s="1">
        <v>382.84671564767984</v>
      </c>
      <c r="L5" s="1">
        <v>391.92881733163426</v>
      </c>
      <c r="M5" s="1">
        <v>400.27513022599032</v>
      </c>
      <c r="N5" s="1">
        <v>407.97979304139074</v>
      </c>
      <c r="O5" s="1">
        <v>415.11868191034227</v>
      </c>
      <c r="P5" s="1">
        <v>421.75412908177009</v>
      </c>
      <c r="Q5" s="1">
        <v>427.93816459512618</v>
      </c>
      <c r="R5" s="1">
        <v>433.71481186374695</v>
      </c>
      <c r="S5" s="1">
        <v>439.12175585102727</v>
      </c>
      <c r="T5" s="1">
        <v>444.19158264927989</v>
      </c>
      <c r="U5" s="1">
        <v>448.95271866089922</v>
      </c>
      <c r="V5" s="1">
        <v>453.43015445744038</v>
      </c>
      <c r="W5" s="1">
        <v>457.64601121305134</v>
      </c>
      <c r="X5" s="1">
        <v>461.61998999868797</v>
      </c>
      <c r="Y5" s="1">
        <v>465.36973253076371</v>
      </c>
      <c r="Z5" s="1">
        <v>468.91111403252182</v>
      </c>
      <c r="AA5" s="1">
        <v>472.25848337429397</v>
      </c>
      <c r="AB5" s="1">
        <v>475.42486178968329</v>
      </c>
      <c r="AC5" s="1">
        <v>478.42210869472888</v>
      </c>
      <c r="AD5" s="1">
        <v>481.26106112469097</v>
      </c>
      <c r="AE5" s="1">
        <v>483.95165182126448</v>
      </c>
      <c r="AF5" s="1">
        <v>486.50300989830384</v>
      </c>
      <c r="AG5" s="1">
        <v>505.93559873857396</v>
      </c>
      <c r="AH5" s="1">
        <v>517.78867065280281</v>
      </c>
      <c r="AI5" s="1">
        <v>525.15920560555787</v>
      </c>
      <c r="AJ5" s="1">
        <v>529.79252565866761</v>
      </c>
      <c r="AK5" s="1">
        <v>532.72402054201928</v>
      </c>
      <c r="AL5" s="1">
        <v>534.58609818804916</v>
      </c>
      <c r="AM5" s="1">
        <v>535.77178468167756</v>
      </c>
      <c r="AN5" s="1">
        <v>537.84125293923216</v>
      </c>
      <c r="AO5" s="1">
        <v>537.86147898467448</v>
      </c>
      <c r="AP5" s="1">
        <v>537.86336602211304</v>
      </c>
      <c r="AQ5" s="1">
        <v>537.86483734391447</v>
      </c>
      <c r="AR5" s="1">
        <v>537.86510688378576</v>
      </c>
      <c r="AS5" s="1">
        <v>537.86510996438449</v>
      </c>
      <c r="AT5" s="1">
        <v>537.86510999959307</v>
      </c>
      <c r="AU5" s="1">
        <v>537.86510999999541</v>
      </c>
      <c r="AV5" s="1">
        <v>537.86510999999996</v>
      </c>
      <c r="AW5" s="1">
        <v>537.86510999999996</v>
      </c>
    </row>
    <row r="6" spans="1:49" x14ac:dyDescent="0.4">
      <c r="A6" s="1">
        <v>100</v>
      </c>
      <c r="B6" s="1">
        <v>172.26177000000001</v>
      </c>
      <c r="C6" s="1">
        <v>248.98399980554174</v>
      </c>
      <c r="D6" s="1">
        <v>279.43577230632945</v>
      </c>
      <c r="E6" s="1">
        <v>302.01892571089411</v>
      </c>
      <c r="F6" s="1">
        <v>320.42189832372799</v>
      </c>
      <c r="G6" s="1">
        <v>336.09388810655685</v>
      </c>
      <c r="H6" s="1">
        <v>349.78868172726561</v>
      </c>
      <c r="I6" s="1">
        <v>361.96044073613382</v>
      </c>
      <c r="J6" s="1">
        <v>372.90930235489031</v>
      </c>
      <c r="K6" s="1">
        <v>382.84671564767984</v>
      </c>
      <c r="L6" s="1">
        <v>391.92881733163426</v>
      </c>
      <c r="M6" s="1">
        <v>400.27513022599032</v>
      </c>
      <c r="N6" s="1">
        <v>407.97979304139074</v>
      </c>
      <c r="O6" s="1">
        <v>415.11868191034227</v>
      </c>
      <c r="P6" s="1">
        <v>421.75412908177009</v>
      </c>
      <c r="Q6" s="1">
        <v>427.93816459512618</v>
      </c>
      <c r="R6" s="1">
        <v>433.71481186374695</v>
      </c>
      <c r="S6" s="1">
        <v>439.12175585102727</v>
      </c>
      <c r="T6" s="1">
        <v>444.19158264927989</v>
      </c>
      <c r="U6" s="1">
        <v>448.95271866089922</v>
      </c>
      <c r="V6" s="1">
        <v>453.43015445744038</v>
      </c>
      <c r="W6" s="1">
        <v>457.64601121305134</v>
      </c>
      <c r="X6" s="1">
        <v>461.61998999868797</v>
      </c>
      <c r="Y6" s="1">
        <v>465.36973253076371</v>
      </c>
      <c r="Z6" s="1">
        <v>468.91111403252182</v>
      </c>
      <c r="AA6" s="1">
        <v>472.25848337429397</v>
      </c>
      <c r="AB6" s="1">
        <v>475.42486178968329</v>
      </c>
      <c r="AC6" s="1">
        <v>478.42210869472888</v>
      </c>
      <c r="AD6" s="1">
        <v>481.26106112469097</v>
      </c>
      <c r="AE6" s="1">
        <v>483.95165182126448</v>
      </c>
      <c r="AF6" s="1">
        <v>486.50300989830384</v>
      </c>
      <c r="AG6" s="1">
        <v>505.93559873857396</v>
      </c>
      <c r="AH6" s="1">
        <v>517.78867065280281</v>
      </c>
      <c r="AI6" s="1">
        <v>525.15920560555787</v>
      </c>
      <c r="AJ6" s="1">
        <v>529.79252565866761</v>
      </c>
      <c r="AK6" s="1">
        <v>532.72402054201928</v>
      </c>
      <c r="AL6" s="1">
        <v>534.58609818804916</v>
      </c>
      <c r="AM6" s="1">
        <v>535.77178468167756</v>
      </c>
      <c r="AN6" s="1">
        <v>537.84125293923216</v>
      </c>
      <c r="AO6" s="1">
        <v>537.86147898467448</v>
      </c>
      <c r="AP6" s="1">
        <v>537.86336602211304</v>
      </c>
      <c r="AQ6" s="1">
        <v>537.86483734391447</v>
      </c>
      <c r="AR6" s="1">
        <v>537.86510688378576</v>
      </c>
      <c r="AS6" s="1">
        <v>537.86510996438449</v>
      </c>
      <c r="AT6" s="1">
        <v>537.86510999959307</v>
      </c>
      <c r="AU6" s="1">
        <v>537.86510999999541</v>
      </c>
      <c r="AV6" s="1">
        <v>537.86510999999996</v>
      </c>
      <c r="AW6" s="1">
        <v>537.86510999999996</v>
      </c>
    </row>
    <row r="7" spans="1:49" x14ac:dyDescent="0.4">
      <c r="A7" s="1">
        <v>125</v>
      </c>
      <c r="B7" s="1">
        <v>163.59048217773437</v>
      </c>
      <c r="C7" s="1">
        <v>248.98399980554174</v>
      </c>
      <c r="D7" s="1">
        <v>279.43577230632945</v>
      </c>
      <c r="E7" s="1">
        <v>302.01892571089411</v>
      </c>
      <c r="F7" s="1">
        <v>320.42189832372799</v>
      </c>
      <c r="G7" s="1">
        <v>336.09388810655685</v>
      </c>
      <c r="H7" s="1">
        <v>349.78868172726561</v>
      </c>
      <c r="I7" s="1">
        <v>361.96044073613382</v>
      </c>
      <c r="J7" s="1">
        <v>372.90930235489031</v>
      </c>
      <c r="K7" s="1">
        <v>382.84671564767984</v>
      </c>
      <c r="L7" s="1">
        <v>391.92881733163426</v>
      </c>
      <c r="M7" s="1">
        <v>400.27513022599032</v>
      </c>
      <c r="N7" s="1">
        <v>407.97979304139074</v>
      </c>
      <c r="O7" s="1">
        <v>415.11868191034227</v>
      </c>
      <c r="P7" s="1">
        <v>421.75412908177009</v>
      </c>
      <c r="Q7" s="1">
        <v>427.93816459512618</v>
      </c>
      <c r="R7" s="1">
        <v>433.71481186374695</v>
      </c>
      <c r="S7" s="1">
        <v>439.12175585102727</v>
      </c>
      <c r="T7" s="1">
        <v>444.19158264927989</v>
      </c>
      <c r="U7" s="1">
        <v>448.95271866089922</v>
      </c>
      <c r="V7" s="1">
        <v>453.43015445744038</v>
      </c>
      <c r="W7" s="1">
        <v>457.64601121305134</v>
      </c>
      <c r="X7" s="1">
        <v>461.61998999868797</v>
      </c>
      <c r="Y7" s="1">
        <v>465.36973253076371</v>
      </c>
      <c r="Z7" s="1">
        <v>468.91111403252182</v>
      </c>
      <c r="AA7" s="1">
        <v>472.25848337429397</v>
      </c>
      <c r="AB7" s="1">
        <v>475.42486178968329</v>
      </c>
      <c r="AC7" s="1">
        <v>478.42210869472888</v>
      </c>
      <c r="AD7" s="1">
        <v>481.26106112469097</v>
      </c>
      <c r="AE7" s="1">
        <v>483.95165182126448</v>
      </c>
      <c r="AF7" s="1">
        <v>486.50300989830384</v>
      </c>
      <c r="AG7" s="1">
        <v>505.93559873857396</v>
      </c>
      <c r="AH7" s="1">
        <v>517.78867065280281</v>
      </c>
      <c r="AI7" s="1">
        <v>525.15920560555787</v>
      </c>
      <c r="AJ7" s="1">
        <v>529.79252565866761</v>
      </c>
      <c r="AK7" s="1">
        <v>532.72402054201928</v>
      </c>
      <c r="AL7" s="1">
        <v>534.58609818804916</v>
      </c>
      <c r="AM7" s="1">
        <v>535.77178468167756</v>
      </c>
      <c r="AN7" s="1">
        <v>537.84125293923216</v>
      </c>
      <c r="AO7" s="1">
        <v>537.86147898467448</v>
      </c>
      <c r="AP7" s="1">
        <v>537.86336602211304</v>
      </c>
      <c r="AQ7" s="1">
        <v>537.86483734391447</v>
      </c>
      <c r="AR7" s="1">
        <v>537.86510688378576</v>
      </c>
      <c r="AS7" s="1">
        <v>537.86510996438449</v>
      </c>
      <c r="AT7" s="1">
        <v>537.86510999959307</v>
      </c>
      <c r="AU7" s="1">
        <v>537.86510999999541</v>
      </c>
      <c r="AV7" s="1">
        <v>537.86510999999996</v>
      </c>
      <c r="AW7" s="1">
        <v>537.86510999999996</v>
      </c>
    </row>
    <row r="8" spans="1:49" x14ac:dyDescent="0.4">
      <c r="A8" s="1">
        <v>150</v>
      </c>
      <c r="B8" s="1">
        <v>156.17573906250001</v>
      </c>
      <c r="C8" s="1">
        <v>248.98399980554174</v>
      </c>
      <c r="D8" s="1">
        <v>279.43577230632945</v>
      </c>
      <c r="E8" s="1">
        <v>302.01892571089411</v>
      </c>
      <c r="F8" s="1">
        <v>320.42189832372799</v>
      </c>
      <c r="G8" s="1">
        <v>336.09388810655685</v>
      </c>
      <c r="H8" s="1">
        <v>349.78868172726561</v>
      </c>
      <c r="I8" s="1">
        <v>361.96044073613382</v>
      </c>
      <c r="J8" s="1">
        <v>372.90930235489031</v>
      </c>
      <c r="K8" s="1">
        <v>382.84671564767984</v>
      </c>
      <c r="L8" s="1">
        <v>391.92881733163426</v>
      </c>
      <c r="M8" s="1">
        <v>400.27513022599032</v>
      </c>
      <c r="N8" s="1">
        <v>407.97979304139074</v>
      </c>
      <c r="O8" s="1">
        <v>415.11868191034227</v>
      </c>
      <c r="P8" s="1">
        <v>421.75412908177009</v>
      </c>
      <c r="Q8" s="1">
        <v>427.93816459512618</v>
      </c>
      <c r="R8" s="1">
        <v>433.71481186374695</v>
      </c>
      <c r="S8" s="1">
        <v>439.12175585102727</v>
      </c>
      <c r="T8" s="1">
        <v>444.19158264927989</v>
      </c>
      <c r="U8" s="1">
        <v>448.95271866089922</v>
      </c>
      <c r="V8" s="1">
        <v>453.43015445744038</v>
      </c>
      <c r="W8" s="1">
        <v>457.64601121305134</v>
      </c>
      <c r="X8" s="1">
        <v>461.61998999868797</v>
      </c>
      <c r="Y8" s="1">
        <v>465.36973253076371</v>
      </c>
      <c r="Z8" s="1">
        <v>468.91111403252182</v>
      </c>
      <c r="AA8" s="1">
        <v>472.25848337429397</v>
      </c>
      <c r="AB8" s="1">
        <v>475.42486178968329</v>
      </c>
      <c r="AC8" s="1">
        <v>478.42210869472888</v>
      </c>
      <c r="AD8" s="1">
        <v>481.26106112469097</v>
      </c>
      <c r="AE8" s="1">
        <v>483.95165182126448</v>
      </c>
      <c r="AF8" s="1">
        <v>486.50300989830384</v>
      </c>
      <c r="AG8" s="1">
        <v>505.93559873857396</v>
      </c>
      <c r="AH8" s="1">
        <v>517.78867065280281</v>
      </c>
      <c r="AI8" s="1">
        <v>525.15920560555787</v>
      </c>
      <c r="AJ8" s="1">
        <v>529.79252565866761</v>
      </c>
      <c r="AK8" s="1">
        <v>532.72402054201928</v>
      </c>
      <c r="AL8" s="1">
        <v>534.58609818804916</v>
      </c>
      <c r="AM8" s="1">
        <v>535.77178468167756</v>
      </c>
      <c r="AN8" s="1">
        <v>537.84125293923216</v>
      </c>
      <c r="AO8" s="1">
        <v>537.86147898467448</v>
      </c>
      <c r="AP8" s="1">
        <v>537.86336602211304</v>
      </c>
      <c r="AQ8" s="1">
        <v>537.86483734391447</v>
      </c>
      <c r="AR8" s="1">
        <v>537.86510688378576</v>
      </c>
      <c r="AS8" s="1">
        <v>537.86510996438449</v>
      </c>
      <c r="AT8" s="1">
        <v>537.86510999959307</v>
      </c>
      <c r="AU8" s="1">
        <v>537.86510999999541</v>
      </c>
      <c r="AV8" s="1">
        <v>537.86510999999996</v>
      </c>
      <c r="AW8" s="1">
        <v>537.86510999999996</v>
      </c>
    </row>
    <row r="9" spans="1:49" x14ac:dyDescent="0.4">
      <c r="A9" s="1">
        <v>175</v>
      </c>
      <c r="B9" s="1">
        <v>149.78392754882816</v>
      </c>
      <c r="C9" s="1">
        <v>248.98399980554174</v>
      </c>
      <c r="D9" s="1">
        <v>279.43577230632945</v>
      </c>
      <c r="E9" s="1">
        <v>302.01892571089411</v>
      </c>
      <c r="F9" s="1">
        <v>320.42189832372799</v>
      </c>
      <c r="G9" s="1">
        <v>336.09388810655685</v>
      </c>
      <c r="H9" s="1">
        <v>349.78868172726561</v>
      </c>
      <c r="I9" s="1">
        <v>361.96044073613382</v>
      </c>
      <c r="J9" s="1">
        <v>372.90930235489031</v>
      </c>
      <c r="K9" s="1">
        <v>382.84671564767984</v>
      </c>
      <c r="L9" s="1">
        <v>391.92881733163426</v>
      </c>
      <c r="M9" s="1">
        <v>400.27513022599032</v>
      </c>
      <c r="N9" s="1">
        <v>407.97979304139074</v>
      </c>
      <c r="O9" s="1">
        <v>415.11868191034227</v>
      </c>
      <c r="P9" s="1">
        <v>421.75412908177009</v>
      </c>
      <c r="Q9" s="1">
        <v>427.93816459512618</v>
      </c>
      <c r="R9" s="1">
        <v>433.71481186374695</v>
      </c>
      <c r="S9" s="1">
        <v>439.12175585102727</v>
      </c>
      <c r="T9" s="1">
        <v>444.19158264927989</v>
      </c>
      <c r="U9" s="1">
        <v>448.95271866089922</v>
      </c>
      <c r="V9" s="1">
        <v>453.43015445744038</v>
      </c>
      <c r="W9" s="1">
        <v>457.64601121305134</v>
      </c>
      <c r="X9" s="1">
        <v>461.61998999868797</v>
      </c>
      <c r="Y9" s="1">
        <v>465.36973253076371</v>
      </c>
      <c r="Z9" s="1">
        <v>468.91111403252182</v>
      </c>
      <c r="AA9" s="1">
        <v>472.25848337429397</v>
      </c>
      <c r="AB9" s="1">
        <v>475.42486178968329</v>
      </c>
      <c r="AC9" s="1">
        <v>478.42210869472888</v>
      </c>
      <c r="AD9" s="1">
        <v>481.26106112469097</v>
      </c>
      <c r="AE9" s="1">
        <v>483.95165182126448</v>
      </c>
      <c r="AF9" s="1">
        <v>486.50300989830384</v>
      </c>
      <c r="AG9" s="1">
        <v>505.93559873857396</v>
      </c>
      <c r="AH9" s="1">
        <v>517.78867065280281</v>
      </c>
      <c r="AI9" s="1">
        <v>525.15920560555787</v>
      </c>
      <c r="AJ9" s="1">
        <v>529.79252565866761</v>
      </c>
      <c r="AK9" s="1">
        <v>532.72402054201928</v>
      </c>
      <c r="AL9" s="1">
        <v>534.58609818804916</v>
      </c>
      <c r="AM9" s="1">
        <v>535.77178468167756</v>
      </c>
      <c r="AN9" s="1">
        <v>537.84125293923216</v>
      </c>
      <c r="AO9" s="1">
        <v>537.86147898467448</v>
      </c>
      <c r="AP9" s="1">
        <v>537.86336602211304</v>
      </c>
      <c r="AQ9" s="1">
        <v>537.86483734391447</v>
      </c>
      <c r="AR9" s="1">
        <v>537.86510688378576</v>
      </c>
      <c r="AS9" s="1">
        <v>537.86510996438449</v>
      </c>
      <c r="AT9" s="1">
        <v>537.86510999959307</v>
      </c>
      <c r="AU9" s="1">
        <v>537.86510999999541</v>
      </c>
      <c r="AV9" s="1">
        <v>537.86510999999996</v>
      </c>
      <c r="AW9" s="1">
        <v>537.86510999999996</v>
      </c>
    </row>
    <row r="10" spans="1:49" x14ac:dyDescent="0.4">
      <c r="A10" s="1">
        <v>227</v>
      </c>
      <c r="B10" s="1">
        <v>138.95969295515229</v>
      </c>
      <c r="C10" s="1">
        <v>145.2547765048833</v>
      </c>
      <c r="D10" s="1">
        <v>158.33740894134428</v>
      </c>
      <c r="E10" s="1">
        <v>168.3561820142798</v>
      </c>
      <c r="F10" s="1">
        <v>176.78578010059547</v>
      </c>
      <c r="G10" s="1">
        <v>184.19782260679708</v>
      </c>
      <c r="H10" s="1">
        <v>190.88567450957905</v>
      </c>
      <c r="I10" s="1">
        <v>197.02372766743085</v>
      </c>
      <c r="J10" s="1">
        <v>202.72568568080143</v>
      </c>
      <c r="K10" s="1">
        <v>208.0705812829448</v>
      </c>
      <c r="L10" s="1">
        <v>213.11599707141178</v>
      </c>
      <c r="M10" s="1">
        <v>217.90543304037212</v>
      </c>
      <c r="N10" s="1">
        <v>222.47270757407748</v>
      </c>
      <c r="O10" s="1">
        <v>226.84473318773141</v>
      </c>
      <c r="P10" s="1">
        <v>231.04334552663622</v>
      </c>
      <c r="Q10" s="1">
        <v>235.08655277194342</v>
      </c>
      <c r="R10" s="1">
        <v>238.98941531883176</v>
      </c>
      <c r="S10" s="1">
        <v>242.76468128529834</v>
      </c>
      <c r="T10" s="1">
        <v>246.42325592358171</v>
      </c>
      <c r="U10" s="1">
        <v>249.97455511145463</v>
      </c>
      <c r="V10" s="1">
        <v>253.42677611105896</v>
      </c>
      <c r="W10" s="1">
        <v>256.7871081046809</v>
      </c>
      <c r="X10" s="1">
        <v>260.06189811732145</v>
      </c>
      <c r="Y10" s="1">
        <v>263.25678336747251</v>
      </c>
      <c r="Z10" s="1">
        <v>266.37679799581224</v>
      </c>
      <c r="AA10" s="1">
        <v>269.42645998775197</v>
      </c>
      <c r="AB10" s="1">
        <v>272.40984260683786</v>
      </c>
      <c r="AC10" s="1">
        <v>275.33063358594143</v>
      </c>
      <c r="AD10" s="1">
        <v>278.19218454800648</v>
      </c>
      <c r="AE10" s="1">
        <v>280.99755255897571</v>
      </c>
      <c r="AF10" s="1">
        <v>283.74953529246147</v>
      </c>
      <c r="AG10" s="1">
        <v>308.81234204680879</v>
      </c>
      <c r="AH10" s="1">
        <v>330.4611491750959</v>
      </c>
      <c r="AI10" s="1">
        <v>349.6501010055938</v>
      </c>
      <c r="AJ10" s="1">
        <v>366.95047908457241</v>
      </c>
      <c r="AK10" s="1">
        <v>382.7374752791352</v>
      </c>
      <c r="AL10" s="1">
        <v>397.27379971320647</v>
      </c>
      <c r="AM10" s="1">
        <v>410.75228534299106</v>
      </c>
      <c r="AN10" s="1">
        <v>508.94855155893481</v>
      </c>
      <c r="AO10" s="1">
        <v>537.89247163626919</v>
      </c>
      <c r="AP10" s="1">
        <v>547.86047232066835</v>
      </c>
      <c r="AQ10" s="1">
        <v>570.40329575226633</v>
      </c>
      <c r="AR10" s="1">
        <v>612.5983694805991</v>
      </c>
      <c r="AS10" s="1">
        <v>642.8053618025491</v>
      </c>
      <c r="AT10" s="1">
        <v>664.94141632614981</v>
      </c>
      <c r="AU10" s="1">
        <v>681.40087727726939</v>
      </c>
      <c r="AV10" s="1">
        <v>693.75840406525003</v>
      </c>
      <c r="AW10" s="1">
        <v>703.098614072705</v>
      </c>
    </row>
    <row r="11" spans="1:49" x14ac:dyDescent="0.4">
      <c r="A11" s="1">
        <v>283.5</v>
      </c>
      <c r="B11" s="1">
        <v>129.82410625045736</v>
      </c>
      <c r="C11" s="1">
        <v>145.2547765048833</v>
      </c>
      <c r="D11" s="1">
        <v>158.33740894134428</v>
      </c>
      <c r="E11" s="1">
        <v>168.3561820142798</v>
      </c>
      <c r="F11" s="1">
        <v>176.78578010059547</v>
      </c>
      <c r="G11" s="1">
        <v>184.19782260679708</v>
      </c>
      <c r="H11" s="1">
        <v>190.88567450957905</v>
      </c>
      <c r="I11" s="1">
        <v>197.02372766743085</v>
      </c>
      <c r="J11" s="1">
        <v>202.72568568080143</v>
      </c>
      <c r="K11" s="1">
        <v>208.0705812829448</v>
      </c>
      <c r="L11" s="1">
        <v>213.11599707141178</v>
      </c>
      <c r="M11" s="1">
        <v>217.90543304037212</v>
      </c>
      <c r="N11" s="1">
        <v>222.47270757407748</v>
      </c>
      <c r="O11" s="1">
        <v>226.84473318773141</v>
      </c>
      <c r="P11" s="1">
        <v>231.04334552663622</v>
      </c>
      <c r="Q11" s="1">
        <v>235.08655277194342</v>
      </c>
      <c r="R11" s="1">
        <v>238.98941531883176</v>
      </c>
      <c r="S11" s="1">
        <v>242.76468128529834</v>
      </c>
      <c r="T11" s="1">
        <v>246.42325592358171</v>
      </c>
      <c r="U11" s="1">
        <v>249.97455511145463</v>
      </c>
      <c r="V11" s="1">
        <v>253.42677611105896</v>
      </c>
      <c r="W11" s="1">
        <v>256.7871081046809</v>
      </c>
      <c r="X11" s="1">
        <v>260.06189811732145</v>
      </c>
      <c r="Y11" s="1">
        <v>263.25678336747251</v>
      </c>
      <c r="Z11" s="1">
        <v>266.37679799581224</v>
      </c>
      <c r="AA11" s="1">
        <v>269.42645998775197</v>
      </c>
      <c r="AB11" s="1">
        <v>272.40984260683786</v>
      </c>
      <c r="AC11" s="1">
        <v>275.33063358594143</v>
      </c>
      <c r="AD11" s="1">
        <v>278.19218454800648</v>
      </c>
      <c r="AE11" s="1">
        <v>280.99755255897571</v>
      </c>
      <c r="AF11" s="1">
        <v>283.74953529246147</v>
      </c>
      <c r="AG11" s="1">
        <v>308.81234204680879</v>
      </c>
      <c r="AH11" s="1">
        <v>330.4611491750959</v>
      </c>
      <c r="AI11" s="1">
        <v>349.6501010055938</v>
      </c>
      <c r="AJ11" s="1">
        <v>366.95047908457241</v>
      </c>
      <c r="AK11" s="1">
        <v>382.7374752791352</v>
      </c>
      <c r="AL11" s="1">
        <v>397.27379971320647</v>
      </c>
      <c r="AM11" s="1">
        <v>410.75228534299106</v>
      </c>
      <c r="AN11" s="1">
        <v>508.94855155893481</v>
      </c>
      <c r="AO11" s="1">
        <v>537.89247163626919</v>
      </c>
      <c r="AP11" s="1">
        <v>547.86047232066835</v>
      </c>
      <c r="AQ11" s="1">
        <v>570.40329575226633</v>
      </c>
      <c r="AR11" s="1">
        <v>612.5983694805991</v>
      </c>
      <c r="AS11" s="1">
        <v>642.8053618025491</v>
      </c>
      <c r="AT11" s="1">
        <v>664.94141632614981</v>
      </c>
      <c r="AU11" s="1">
        <v>681.40087727726939</v>
      </c>
      <c r="AV11" s="1">
        <v>693.75840406525003</v>
      </c>
      <c r="AW11" s="1">
        <v>703.098614072705</v>
      </c>
    </row>
    <row r="12" spans="1:49" x14ac:dyDescent="0.4">
      <c r="A12" s="1">
        <v>340</v>
      </c>
      <c r="B12" s="1">
        <v>122.50857464639998</v>
      </c>
      <c r="C12" s="1">
        <v>145.2547765048833</v>
      </c>
      <c r="D12" s="1">
        <v>158.33740894134428</v>
      </c>
      <c r="E12" s="1">
        <v>168.3561820142798</v>
      </c>
      <c r="F12" s="1">
        <v>176.78578010059547</v>
      </c>
      <c r="G12" s="1">
        <v>184.19782260679708</v>
      </c>
      <c r="H12" s="1">
        <v>190.88567450957905</v>
      </c>
      <c r="I12" s="1">
        <v>197.02372766743085</v>
      </c>
      <c r="J12" s="1">
        <v>202.72568568080143</v>
      </c>
      <c r="K12" s="1">
        <v>208.0705812829448</v>
      </c>
      <c r="L12" s="1">
        <v>213.11599707141178</v>
      </c>
      <c r="M12" s="1">
        <v>217.90543304037212</v>
      </c>
      <c r="N12" s="1">
        <v>222.47270757407748</v>
      </c>
      <c r="O12" s="1">
        <v>226.84473318773141</v>
      </c>
      <c r="P12" s="1">
        <v>231.04334552663622</v>
      </c>
      <c r="Q12" s="1">
        <v>235.08655277194342</v>
      </c>
      <c r="R12" s="1">
        <v>238.98941531883176</v>
      </c>
      <c r="S12" s="1">
        <v>242.76468128529834</v>
      </c>
      <c r="T12" s="1">
        <v>246.42325592358171</v>
      </c>
      <c r="U12" s="1">
        <v>249.97455511145463</v>
      </c>
      <c r="V12" s="1">
        <v>253.42677611105896</v>
      </c>
      <c r="W12" s="1">
        <v>256.7871081046809</v>
      </c>
      <c r="X12" s="1">
        <v>260.06189811732145</v>
      </c>
      <c r="Y12" s="1">
        <v>263.25678336747251</v>
      </c>
      <c r="Z12" s="1">
        <v>266.37679799581224</v>
      </c>
      <c r="AA12" s="1">
        <v>269.42645998775197</v>
      </c>
      <c r="AB12" s="1">
        <v>272.40984260683786</v>
      </c>
      <c r="AC12" s="1">
        <v>275.33063358594143</v>
      </c>
      <c r="AD12" s="1">
        <v>278.19218454800648</v>
      </c>
      <c r="AE12" s="1">
        <v>280.99755255897571</v>
      </c>
      <c r="AF12" s="1">
        <v>283.74953529246147</v>
      </c>
      <c r="AG12" s="1">
        <v>308.81234204680879</v>
      </c>
      <c r="AH12" s="1">
        <v>330.4611491750959</v>
      </c>
      <c r="AI12" s="1">
        <v>349.6501010055938</v>
      </c>
      <c r="AJ12" s="1">
        <v>366.95047908457241</v>
      </c>
      <c r="AK12" s="1">
        <v>382.7374752791352</v>
      </c>
      <c r="AL12" s="1">
        <v>397.27379971320647</v>
      </c>
      <c r="AM12" s="1">
        <v>410.75228534299106</v>
      </c>
      <c r="AN12" s="1">
        <v>508.94855155893481</v>
      </c>
      <c r="AO12" s="1">
        <v>537.89247163626919</v>
      </c>
      <c r="AP12" s="1">
        <v>547.86047232066835</v>
      </c>
      <c r="AQ12" s="1">
        <v>570.40329575226633</v>
      </c>
      <c r="AR12" s="1">
        <v>612.5983694805991</v>
      </c>
      <c r="AS12" s="1">
        <v>642.8053618025491</v>
      </c>
      <c r="AT12" s="1">
        <v>664.94141632614981</v>
      </c>
      <c r="AU12" s="1">
        <v>681.40087727726939</v>
      </c>
      <c r="AV12" s="1">
        <v>693.75840406525003</v>
      </c>
      <c r="AW12" s="1">
        <v>703.098614072705</v>
      </c>
    </row>
    <row r="13" spans="1:49" x14ac:dyDescent="0.4">
      <c r="A13" s="1">
        <v>350</v>
      </c>
      <c r="B13" s="1">
        <v>121</v>
      </c>
      <c r="C13" s="78">
        <v>145.2547765048833</v>
      </c>
      <c r="D13" s="78">
        <v>158.33740894134428</v>
      </c>
      <c r="E13" s="78">
        <v>168.3561820142798</v>
      </c>
      <c r="F13" s="78">
        <v>176.78578010059547</v>
      </c>
      <c r="G13" s="78">
        <v>184.19782260679708</v>
      </c>
      <c r="H13" s="78">
        <v>190.88567450957905</v>
      </c>
      <c r="I13" s="78">
        <v>197.02372766743085</v>
      </c>
      <c r="J13" s="78">
        <v>202.72568568080143</v>
      </c>
      <c r="K13" s="78">
        <v>208.0705812829448</v>
      </c>
      <c r="L13" s="78">
        <v>213.11599707141178</v>
      </c>
      <c r="M13" s="78">
        <v>217.90543304037212</v>
      </c>
      <c r="N13" s="78">
        <v>222.47270757407748</v>
      </c>
      <c r="O13" s="78">
        <v>226.84473318773141</v>
      </c>
      <c r="P13" s="78">
        <v>231.04334552663622</v>
      </c>
      <c r="Q13" s="78">
        <v>235.08655277194342</v>
      </c>
      <c r="R13" s="78">
        <v>238.98941531883176</v>
      </c>
      <c r="S13" s="78">
        <v>242.76468128529834</v>
      </c>
      <c r="T13" s="78">
        <v>246.42325592358171</v>
      </c>
      <c r="U13" s="78">
        <v>249.97455511145463</v>
      </c>
      <c r="V13" s="78">
        <v>253.42677611105896</v>
      </c>
      <c r="W13" s="78">
        <v>256.7871081046809</v>
      </c>
      <c r="X13" s="78">
        <v>260.06189811732145</v>
      </c>
      <c r="Y13" s="78">
        <v>263.25678336747251</v>
      </c>
      <c r="Z13" s="78">
        <v>266.37679799581224</v>
      </c>
      <c r="AA13" s="78">
        <v>269.42645998775197</v>
      </c>
      <c r="AB13" s="78">
        <v>272.40984260683786</v>
      </c>
      <c r="AC13" s="78">
        <v>275.33063358594143</v>
      </c>
      <c r="AD13" s="78">
        <v>278.19218454800648</v>
      </c>
      <c r="AE13" s="78">
        <v>280.99755255897571</v>
      </c>
      <c r="AF13" s="78">
        <v>283.74953529246147</v>
      </c>
      <c r="AG13" s="78">
        <v>308.81234204680879</v>
      </c>
      <c r="AH13" s="78">
        <v>330.4611491750959</v>
      </c>
      <c r="AI13" s="78">
        <v>349.6501010055938</v>
      </c>
      <c r="AJ13" s="78">
        <v>366.95047908457241</v>
      </c>
      <c r="AK13" s="78">
        <v>382.7374752791352</v>
      </c>
      <c r="AL13" s="78">
        <v>397.27379971320647</v>
      </c>
      <c r="AM13" s="78">
        <v>410.75228534299106</v>
      </c>
      <c r="AN13" s="78">
        <v>508.94855155893481</v>
      </c>
      <c r="AO13" s="78">
        <v>537.89247163626919</v>
      </c>
      <c r="AP13" s="78">
        <v>547.86047232066835</v>
      </c>
      <c r="AQ13" s="78">
        <v>570.40329575226633</v>
      </c>
      <c r="AR13" s="78">
        <v>612.5983694805991</v>
      </c>
      <c r="AS13" s="78">
        <v>642.8053618025491</v>
      </c>
      <c r="AT13" s="78">
        <v>664.94141632614981</v>
      </c>
      <c r="AU13" s="78">
        <v>681.40087727726939</v>
      </c>
      <c r="AV13" s="78">
        <v>693.75840406525003</v>
      </c>
      <c r="AW13" s="78">
        <v>703.098614072705</v>
      </c>
    </row>
    <row r="14" spans="1:49" x14ac:dyDescent="0.4">
      <c r="A14" s="1">
        <v>375</v>
      </c>
      <c r="B14" s="1">
        <v>119</v>
      </c>
      <c r="C14" s="78">
        <v>145.2547765048833</v>
      </c>
      <c r="D14" s="78">
        <v>158.33740894134428</v>
      </c>
      <c r="E14" s="78">
        <v>168.3561820142798</v>
      </c>
      <c r="F14" s="78">
        <v>176.78578010059547</v>
      </c>
      <c r="G14" s="78">
        <v>184.19782260679708</v>
      </c>
      <c r="H14" s="78">
        <v>190.88567450957905</v>
      </c>
      <c r="I14" s="78">
        <v>197.02372766743085</v>
      </c>
      <c r="J14" s="78">
        <v>202.72568568080143</v>
      </c>
      <c r="K14" s="78">
        <v>208.0705812829448</v>
      </c>
      <c r="L14" s="78">
        <v>213.11599707141178</v>
      </c>
      <c r="M14" s="78">
        <v>217.90543304037212</v>
      </c>
      <c r="N14" s="78">
        <v>222.47270757407748</v>
      </c>
      <c r="O14" s="78">
        <v>226.84473318773141</v>
      </c>
      <c r="P14" s="78">
        <v>231.04334552663622</v>
      </c>
      <c r="Q14" s="78">
        <v>235.08655277194342</v>
      </c>
      <c r="R14" s="78">
        <v>238.98941531883176</v>
      </c>
      <c r="S14" s="78">
        <v>242.76468128529834</v>
      </c>
      <c r="T14" s="78">
        <v>246.42325592358171</v>
      </c>
      <c r="U14" s="78">
        <v>249.97455511145463</v>
      </c>
      <c r="V14" s="78">
        <v>253.42677611105896</v>
      </c>
      <c r="W14" s="78">
        <v>256.7871081046809</v>
      </c>
      <c r="X14" s="78">
        <v>260.06189811732145</v>
      </c>
      <c r="Y14" s="78">
        <v>263.25678336747251</v>
      </c>
      <c r="Z14" s="78">
        <v>266.37679799581224</v>
      </c>
      <c r="AA14" s="78">
        <v>269.42645998775197</v>
      </c>
      <c r="AB14" s="78">
        <v>272.40984260683786</v>
      </c>
      <c r="AC14" s="78">
        <v>275.33063358594143</v>
      </c>
      <c r="AD14" s="78">
        <v>278.19218454800648</v>
      </c>
      <c r="AE14" s="78">
        <v>280.99755255897571</v>
      </c>
      <c r="AF14" s="78">
        <v>283.74953529246147</v>
      </c>
      <c r="AG14" s="78">
        <v>308.81234204680879</v>
      </c>
      <c r="AH14" s="78">
        <v>330.4611491750959</v>
      </c>
      <c r="AI14" s="78">
        <v>349.6501010055938</v>
      </c>
      <c r="AJ14" s="78">
        <v>366.95047908457241</v>
      </c>
      <c r="AK14" s="78">
        <v>382.7374752791352</v>
      </c>
      <c r="AL14" s="78">
        <v>397.27379971320647</v>
      </c>
      <c r="AM14" s="78">
        <v>410.75228534299106</v>
      </c>
      <c r="AN14" s="78">
        <v>508.94855155893481</v>
      </c>
      <c r="AO14" s="78">
        <v>537.89247163626919</v>
      </c>
      <c r="AP14" s="78">
        <v>547.86047232066835</v>
      </c>
      <c r="AQ14" s="78">
        <v>570.40329575226633</v>
      </c>
      <c r="AR14" s="78">
        <v>612.5983694805991</v>
      </c>
      <c r="AS14" s="78">
        <v>642.8053618025491</v>
      </c>
      <c r="AT14" s="78">
        <v>664.94141632614981</v>
      </c>
      <c r="AU14" s="78">
        <v>681.40087727726939</v>
      </c>
      <c r="AV14" s="78">
        <v>693.75840406525003</v>
      </c>
      <c r="AW14" s="78">
        <v>703.098614072705</v>
      </c>
    </row>
    <row r="15" spans="1:49" x14ac:dyDescent="0.4">
      <c r="A15" s="1">
        <v>400</v>
      </c>
      <c r="B15" s="1">
        <v>116</v>
      </c>
      <c r="C15" s="78">
        <v>145.2547765048833</v>
      </c>
      <c r="D15" s="78">
        <v>158.33740894134428</v>
      </c>
      <c r="E15" s="78">
        <v>168.3561820142798</v>
      </c>
      <c r="F15" s="78">
        <v>176.78578010059547</v>
      </c>
      <c r="G15" s="78">
        <v>184.19782260679708</v>
      </c>
      <c r="H15" s="78">
        <v>190.88567450957905</v>
      </c>
      <c r="I15" s="78">
        <v>197.02372766743085</v>
      </c>
      <c r="J15" s="78">
        <v>202.72568568080143</v>
      </c>
      <c r="K15" s="78">
        <v>208.0705812829448</v>
      </c>
      <c r="L15" s="78">
        <v>213.11599707141178</v>
      </c>
      <c r="M15" s="78">
        <v>217.90543304037212</v>
      </c>
      <c r="N15" s="78">
        <v>222.47270757407748</v>
      </c>
      <c r="O15" s="78">
        <v>226.84473318773141</v>
      </c>
      <c r="P15" s="78">
        <v>231.04334552663622</v>
      </c>
      <c r="Q15" s="78">
        <v>235.08655277194342</v>
      </c>
      <c r="R15" s="78">
        <v>238.98941531883176</v>
      </c>
      <c r="S15" s="78">
        <v>242.76468128529834</v>
      </c>
      <c r="T15" s="78">
        <v>246.42325592358171</v>
      </c>
      <c r="U15" s="78">
        <v>249.97455511145463</v>
      </c>
      <c r="V15" s="78">
        <v>253.42677611105896</v>
      </c>
      <c r="W15" s="78">
        <v>256.7871081046809</v>
      </c>
      <c r="X15" s="78">
        <v>260.06189811732145</v>
      </c>
      <c r="Y15" s="78">
        <v>263.25678336747251</v>
      </c>
      <c r="Z15" s="78">
        <v>266.37679799581224</v>
      </c>
      <c r="AA15" s="78">
        <v>269.42645998775197</v>
      </c>
      <c r="AB15" s="78">
        <v>272.40984260683786</v>
      </c>
      <c r="AC15" s="78">
        <v>275.33063358594143</v>
      </c>
      <c r="AD15" s="78">
        <v>278.19218454800648</v>
      </c>
      <c r="AE15" s="78">
        <v>280.99755255897571</v>
      </c>
      <c r="AF15" s="78">
        <v>283.74953529246147</v>
      </c>
      <c r="AG15" s="78">
        <v>308.81234204680879</v>
      </c>
      <c r="AH15" s="78">
        <v>330.4611491750959</v>
      </c>
      <c r="AI15" s="78">
        <v>349.6501010055938</v>
      </c>
      <c r="AJ15" s="78">
        <v>366.95047908457241</v>
      </c>
      <c r="AK15" s="78">
        <v>382.7374752791352</v>
      </c>
      <c r="AL15" s="78">
        <v>397.27379971320647</v>
      </c>
      <c r="AM15" s="78">
        <v>410.75228534299106</v>
      </c>
      <c r="AN15" s="78">
        <v>508.94855155893481</v>
      </c>
      <c r="AO15" s="78">
        <v>537.89247163626919</v>
      </c>
      <c r="AP15" s="78">
        <v>547.86047232066835</v>
      </c>
      <c r="AQ15" s="78">
        <v>570.40329575226633</v>
      </c>
      <c r="AR15" s="78">
        <v>612.5983694805991</v>
      </c>
      <c r="AS15" s="78">
        <v>642.8053618025491</v>
      </c>
      <c r="AT15" s="78">
        <v>664.94141632614981</v>
      </c>
      <c r="AU15" s="78">
        <v>681.40087727726939</v>
      </c>
      <c r="AV15" s="78">
        <v>693.75840406525003</v>
      </c>
      <c r="AW15" s="78">
        <v>703.098614072705</v>
      </c>
    </row>
    <row r="16" spans="1:49" x14ac:dyDescent="0.4">
      <c r="A16" s="1">
        <v>425</v>
      </c>
      <c r="B16" s="1">
        <v>114</v>
      </c>
      <c r="C16" s="78">
        <v>145.2547765048833</v>
      </c>
      <c r="D16" s="78">
        <v>158.33740894134428</v>
      </c>
      <c r="E16" s="78">
        <v>168.3561820142798</v>
      </c>
      <c r="F16" s="78">
        <v>176.78578010059547</v>
      </c>
      <c r="G16" s="78">
        <v>184.19782260679708</v>
      </c>
      <c r="H16" s="78">
        <v>190.88567450957905</v>
      </c>
      <c r="I16" s="78">
        <v>197.02372766743085</v>
      </c>
      <c r="J16" s="78">
        <v>202.72568568080143</v>
      </c>
      <c r="K16" s="78">
        <v>208.0705812829448</v>
      </c>
      <c r="L16" s="78">
        <v>213.11599707141178</v>
      </c>
      <c r="M16" s="78">
        <v>217.90543304037212</v>
      </c>
      <c r="N16" s="78">
        <v>222.47270757407748</v>
      </c>
      <c r="O16" s="78">
        <v>226.84473318773141</v>
      </c>
      <c r="P16" s="78">
        <v>231.04334552663622</v>
      </c>
      <c r="Q16" s="78">
        <v>235.08655277194342</v>
      </c>
      <c r="R16" s="78">
        <v>238.98941531883176</v>
      </c>
      <c r="S16" s="78">
        <v>242.76468128529834</v>
      </c>
      <c r="T16" s="78">
        <v>246.42325592358171</v>
      </c>
      <c r="U16" s="78">
        <v>249.97455511145463</v>
      </c>
      <c r="V16" s="78">
        <v>253.42677611105896</v>
      </c>
      <c r="W16" s="78">
        <v>256.7871081046809</v>
      </c>
      <c r="X16" s="78">
        <v>260.06189811732145</v>
      </c>
      <c r="Y16" s="78">
        <v>263.25678336747251</v>
      </c>
      <c r="Z16" s="78">
        <v>266.37679799581224</v>
      </c>
      <c r="AA16" s="78">
        <v>269.42645998775197</v>
      </c>
      <c r="AB16" s="78">
        <v>272.40984260683786</v>
      </c>
      <c r="AC16" s="78">
        <v>275.33063358594143</v>
      </c>
      <c r="AD16" s="78">
        <v>278.19218454800648</v>
      </c>
      <c r="AE16" s="78">
        <v>280.99755255897571</v>
      </c>
      <c r="AF16" s="78">
        <v>283.74953529246147</v>
      </c>
      <c r="AG16" s="78">
        <v>308.81234204680879</v>
      </c>
      <c r="AH16" s="78">
        <v>330.4611491750959</v>
      </c>
      <c r="AI16" s="78">
        <v>349.6501010055938</v>
      </c>
      <c r="AJ16" s="78">
        <v>366.95047908457241</v>
      </c>
      <c r="AK16" s="78">
        <v>382.7374752791352</v>
      </c>
      <c r="AL16" s="78">
        <v>397.27379971320647</v>
      </c>
      <c r="AM16" s="78">
        <v>410.75228534299106</v>
      </c>
      <c r="AN16" s="78">
        <v>508.94855155893481</v>
      </c>
      <c r="AO16" s="78">
        <v>537.89247163626919</v>
      </c>
      <c r="AP16" s="78">
        <v>547.86047232066835</v>
      </c>
      <c r="AQ16" s="78">
        <v>570.40329575226633</v>
      </c>
      <c r="AR16" s="78">
        <v>612.5983694805991</v>
      </c>
      <c r="AS16" s="78">
        <v>642.8053618025491</v>
      </c>
      <c r="AT16" s="78">
        <v>664.94141632614981</v>
      </c>
      <c r="AU16" s="78">
        <v>681.40087727726939</v>
      </c>
      <c r="AV16" s="78">
        <v>693.75840406525003</v>
      </c>
      <c r="AW16" s="78">
        <v>703.098614072705</v>
      </c>
    </row>
    <row r="17" spans="1:49" x14ac:dyDescent="0.4">
      <c r="A17" s="1">
        <v>450</v>
      </c>
      <c r="B17" s="1">
        <v>112</v>
      </c>
      <c r="C17" s="78">
        <v>145.2547765048833</v>
      </c>
      <c r="D17" s="78">
        <v>158.33740894134428</v>
      </c>
      <c r="E17" s="78">
        <v>168.3561820142798</v>
      </c>
      <c r="F17" s="78">
        <v>176.78578010059547</v>
      </c>
      <c r="G17" s="78">
        <v>184.19782260679708</v>
      </c>
      <c r="H17" s="78">
        <v>190.88567450957905</v>
      </c>
      <c r="I17" s="78">
        <v>197.02372766743085</v>
      </c>
      <c r="J17" s="78">
        <v>202.72568568080143</v>
      </c>
      <c r="K17" s="78">
        <v>208.0705812829448</v>
      </c>
      <c r="L17" s="78">
        <v>213.11599707141178</v>
      </c>
      <c r="M17" s="78">
        <v>217.90543304037212</v>
      </c>
      <c r="N17" s="78">
        <v>222.47270757407748</v>
      </c>
      <c r="O17" s="78">
        <v>226.84473318773141</v>
      </c>
      <c r="P17" s="78">
        <v>231.04334552663622</v>
      </c>
      <c r="Q17" s="78">
        <v>235.08655277194342</v>
      </c>
      <c r="R17" s="78">
        <v>238.98941531883176</v>
      </c>
      <c r="S17" s="78">
        <v>242.76468128529834</v>
      </c>
      <c r="T17" s="78">
        <v>246.42325592358171</v>
      </c>
      <c r="U17" s="78">
        <v>249.97455511145463</v>
      </c>
      <c r="V17" s="78">
        <v>253.42677611105896</v>
      </c>
      <c r="W17" s="78">
        <v>256.7871081046809</v>
      </c>
      <c r="X17" s="78">
        <v>260.06189811732145</v>
      </c>
      <c r="Y17" s="78">
        <v>263.25678336747251</v>
      </c>
      <c r="Z17" s="78">
        <v>266.37679799581224</v>
      </c>
      <c r="AA17" s="78">
        <v>269.42645998775197</v>
      </c>
      <c r="AB17" s="78">
        <v>272.40984260683786</v>
      </c>
      <c r="AC17" s="78">
        <v>275.33063358594143</v>
      </c>
      <c r="AD17" s="78">
        <v>278.19218454800648</v>
      </c>
      <c r="AE17" s="78">
        <v>280.99755255897571</v>
      </c>
      <c r="AF17" s="78">
        <v>283.74953529246147</v>
      </c>
      <c r="AG17" s="78">
        <v>308.81234204680879</v>
      </c>
      <c r="AH17" s="78">
        <v>330.4611491750959</v>
      </c>
      <c r="AI17" s="78">
        <v>349.6501010055938</v>
      </c>
      <c r="AJ17" s="78">
        <v>366.95047908457241</v>
      </c>
      <c r="AK17" s="78">
        <v>382.7374752791352</v>
      </c>
      <c r="AL17" s="78">
        <v>397.27379971320647</v>
      </c>
      <c r="AM17" s="78">
        <v>410.75228534299106</v>
      </c>
      <c r="AN17" s="78">
        <v>508.94855155893481</v>
      </c>
      <c r="AO17" s="78">
        <v>537.89247163626919</v>
      </c>
      <c r="AP17" s="78">
        <v>547.86047232066835</v>
      </c>
      <c r="AQ17" s="78">
        <v>570.40329575226633</v>
      </c>
      <c r="AR17" s="78">
        <v>612.5983694805991</v>
      </c>
      <c r="AS17" s="78">
        <v>642.8053618025491</v>
      </c>
      <c r="AT17" s="78">
        <v>664.94141632614981</v>
      </c>
      <c r="AU17" s="78">
        <v>681.40087727726939</v>
      </c>
      <c r="AV17" s="78">
        <v>693.75840406525003</v>
      </c>
      <c r="AW17" s="78">
        <v>703.098614072705</v>
      </c>
    </row>
    <row r="18" spans="1:49" x14ac:dyDescent="0.4">
      <c r="A18" s="1">
        <v>475</v>
      </c>
      <c r="B18" s="1">
        <v>110</v>
      </c>
      <c r="C18" s="78">
        <v>145.2547765048833</v>
      </c>
      <c r="D18" s="78">
        <v>158.33740894134428</v>
      </c>
      <c r="E18" s="78">
        <v>168.3561820142798</v>
      </c>
      <c r="F18" s="78">
        <v>176.78578010059547</v>
      </c>
      <c r="G18" s="78">
        <v>184.19782260679708</v>
      </c>
      <c r="H18" s="78">
        <v>190.88567450957905</v>
      </c>
      <c r="I18" s="78">
        <v>197.02372766743085</v>
      </c>
      <c r="J18" s="78">
        <v>202.72568568080143</v>
      </c>
      <c r="K18" s="78">
        <v>208.0705812829448</v>
      </c>
      <c r="L18" s="78">
        <v>213.11599707141178</v>
      </c>
      <c r="M18" s="78">
        <v>217.90543304037212</v>
      </c>
      <c r="N18" s="78">
        <v>222.47270757407748</v>
      </c>
      <c r="O18" s="78">
        <v>226.84473318773141</v>
      </c>
      <c r="P18" s="78">
        <v>231.04334552663622</v>
      </c>
      <c r="Q18" s="78">
        <v>235.08655277194342</v>
      </c>
      <c r="R18" s="78">
        <v>238.98941531883176</v>
      </c>
      <c r="S18" s="78">
        <v>242.76468128529834</v>
      </c>
      <c r="T18" s="78">
        <v>246.42325592358171</v>
      </c>
      <c r="U18" s="78">
        <v>249.97455511145463</v>
      </c>
      <c r="V18" s="78">
        <v>253.42677611105896</v>
      </c>
      <c r="W18" s="78">
        <v>256.7871081046809</v>
      </c>
      <c r="X18" s="78">
        <v>260.06189811732145</v>
      </c>
      <c r="Y18" s="78">
        <v>263.25678336747251</v>
      </c>
      <c r="Z18" s="78">
        <v>266.37679799581224</v>
      </c>
      <c r="AA18" s="78">
        <v>269.42645998775197</v>
      </c>
      <c r="AB18" s="78">
        <v>272.40984260683786</v>
      </c>
      <c r="AC18" s="78">
        <v>275.33063358594143</v>
      </c>
      <c r="AD18" s="78">
        <v>278.19218454800648</v>
      </c>
      <c r="AE18" s="78">
        <v>280.99755255897571</v>
      </c>
      <c r="AF18" s="78">
        <v>283.74953529246147</v>
      </c>
      <c r="AG18" s="78">
        <v>308.81234204680879</v>
      </c>
      <c r="AH18" s="78">
        <v>330.4611491750959</v>
      </c>
      <c r="AI18" s="78">
        <v>349.6501010055938</v>
      </c>
      <c r="AJ18" s="78">
        <v>366.95047908457241</v>
      </c>
      <c r="AK18" s="78">
        <v>382.7374752791352</v>
      </c>
      <c r="AL18" s="78">
        <v>397.27379971320647</v>
      </c>
      <c r="AM18" s="78">
        <v>410.75228534299106</v>
      </c>
      <c r="AN18" s="78">
        <v>508.94855155893481</v>
      </c>
      <c r="AO18" s="78">
        <v>537.89247163626919</v>
      </c>
      <c r="AP18" s="78">
        <v>547.86047232066835</v>
      </c>
      <c r="AQ18" s="78">
        <v>570.40329575226633</v>
      </c>
      <c r="AR18" s="78">
        <v>612.5983694805991</v>
      </c>
      <c r="AS18" s="78">
        <v>642.8053618025491</v>
      </c>
      <c r="AT18" s="78">
        <v>664.94141632614981</v>
      </c>
      <c r="AU18" s="78">
        <v>681.40087727726939</v>
      </c>
      <c r="AV18" s="78">
        <v>693.75840406525003</v>
      </c>
      <c r="AW18" s="78">
        <v>703.098614072705</v>
      </c>
    </row>
  </sheetData>
  <mergeCells count="1">
    <mergeCell ref="C2:AN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"/>
  <sheetViews>
    <sheetView workbookViewId="0">
      <selection activeCell="H19" sqref="H19"/>
    </sheetView>
  </sheetViews>
  <sheetFormatPr defaultRowHeight="14.6" x14ac:dyDescent="0.4"/>
  <sheetData>
    <row r="1" spans="1:3" x14ac:dyDescent="0.4">
      <c r="A1" s="1" t="s">
        <v>37</v>
      </c>
      <c r="B1" s="1"/>
      <c r="C1" s="1"/>
    </row>
    <row r="2" spans="1:3" x14ac:dyDescent="0.4">
      <c r="A2" s="1"/>
      <c r="B2" s="81" t="s">
        <v>16</v>
      </c>
      <c r="C2" s="81"/>
    </row>
    <row r="3" spans="1:3" x14ac:dyDescent="0.4">
      <c r="A3" s="53" t="s">
        <v>13</v>
      </c>
      <c r="B3" s="53">
        <v>0</v>
      </c>
      <c r="C3" s="53">
        <v>100</v>
      </c>
    </row>
    <row r="4" spans="1:3" x14ac:dyDescent="0.4">
      <c r="A4" s="2">
        <v>20</v>
      </c>
      <c r="B4" s="2">
        <v>235</v>
      </c>
      <c r="C4" s="2">
        <v>235</v>
      </c>
    </row>
    <row r="5" spans="1:3" x14ac:dyDescent="0.4">
      <c r="A5" s="2">
        <v>100</v>
      </c>
      <c r="B5" s="2">
        <v>196</v>
      </c>
      <c r="C5" s="2">
        <v>196</v>
      </c>
    </row>
    <row r="6" spans="1:3" x14ac:dyDescent="0.4">
      <c r="A6" s="2">
        <v>150</v>
      </c>
      <c r="B6" s="2">
        <v>177.5</v>
      </c>
      <c r="C6" s="2">
        <v>177.5</v>
      </c>
    </row>
    <row r="7" spans="1:3" x14ac:dyDescent="0.4">
      <c r="A7" s="2">
        <v>200</v>
      </c>
      <c r="B7" s="2">
        <v>159</v>
      </c>
      <c r="C7" s="2">
        <v>159</v>
      </c>
    </row>
    <row r="8" spans="1:3" x14ac:dyDescent="0.4">
      <c r="A8" s="2">
        <v>250</v>
      </c>
      <c r="B8" s="2">
        <v>147</v>
      </c>
      <c r="C8" s="2">
        <v>147</v>
      </c>
    </row>
    <row r="9" spans="1:3" x14ac:dyDescent="0.4">
      <c r="A9" s="2">
        <v>300</v>
      </c>
      <c r="B9" s="2">
        <v>135</v>
      </c>
      <c r="C9" s="2">
        <v>135</v>
      </c>
    </row>
    <row r="10" spans="1:3" x14ac:dyDescent="0.4">
      <c r="A10" s="2">
        <v>350</v>
      </c>
      <c r="B10" s="2">
        <v>126</v>
      </c>
      <c r="C10" s="2">
        <v>126</v>
      </c>
    </row>
    <row r="11" spans="1:3" x14ac:dyDescent="0.4">
      <c r="A11" s="2">
        <v>400</v>
      </c>
      <c r="B11" s="2">
        <v>120</v>
      </c>
      <c r="C11" s="2">
        <v>120</v>
      </c>
    </row>
    <row r="12" spans="1:3" x14ac:dyDescent="0.4">
      <c r="A12" s="2">
        <v>450</v>
      </c>
      <c r="B12" s="2">
        <v>115</v>
      </c>
      <c r="C12" s="2">
        <v>115</v>
      </c>
    </row>
    <row r="13" spans="1:3" x14ac:dyDescent="0.4">
      <c r="A13" s="2">
        <v>500</v>
      </c>
      <c r="B13" s="2">
        <v>110</v>
      </c>
      <c r="C13" s="2">
        <v>110</v>
      </c>
    </row>
    <row r="14" spans="1:3" x14ac:dyDescent="0.4">
      <c r="A14" s="2">
        <v>550</v>
      </c>
      <c r="B14" s="2">
        <v>106</v>
      </c>
      <c r="C14" s="2">
        <v>106</v>
      </c>
    </row>
    <row r="15" spans="1:3" x14ac:dyDescent="0.4">
      <c r="A15" s="2">
        <v>1000</v>
      </c>
      <c r="B15" s="2">
        <v>0</v>
      </c>
      <c r="C15" s="2">
        <v>0</v>
      </c>
    </row>
  </sheetData>
  <mergeCells count="1">
    <mergeCell ref="B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18"/>
  <sheetViews>
    <sheetView zoomScaleNormal="100" workbookViewId="0">
      <selection activeCell="X28" sqref="X28"/>
    </sheetView>
  </sheetViews>
  <sheetFormatPr defaultColWidth="8.84375" defaultRowHeight="14.6" x14ac:dyDescent="0.4"/>
  <cols>
    <col min="1" max="16384" width="8.84375" style="1"/>
  </cols>
  <sheetData>
    <row r="1" spans="1:49" x14ac:dyDescent="0.4">
      <c r="A1" s="81" t="s">
        <v>17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49" x14ac:dyDescent="0.4">
      <c r="B2" s="81" t="s">
        <v>16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</row>
    <row r="3" spans="1:49" x14ac:dyDescent="0.4">
      <c r="A3" s="1" t="s">
        <v>13</v>
      </c>
      <c r="B3" s="1">
        <v>0</v>
      </c>
      <c r="C3" s="1">
        <v>0.01</v>
      </c>
      <c r="D3" s="1">
        <v>0.02</v>
      </c>
      <c r="E3" s="1">
        <v>0.03</v>
      </c>
      <c r="F3" s="1">
        <v>0.04</v>
      </c>
      <c r="G3" s="1">
        <v>0.05</v>
      </c>
      <c r="H3" s="1">
        <v>0.06</v>
      </c>
      <c r="I3" s="1">
        <v>7.0000000000000007E-2</v>
      </c>
      <c r="J3" s="1">
        <v>0.08</v>
      </c>
      <c r="K3" s="1">
        <v>0.09</v>
      </c>
      <c r="L3" s="1">
        <v>0.1</v>
      </c>
      <c r="M3" s="1">
        <v>0.11</v>
      </c>
      <c r="N3" s="1">
        <v>0.12</v>
      </c>
      <c r="O3" s="1">
        <v>0.13</v>
      </c>
      <c r="P3" s="1">
        <v>0.14000000000000001</v>
      </c>
      <c r="Q3" s="1">
        <v>0.15</v>
      </c>
      <c r="R3" s="1">
        <v>0.16</v>
      </c>
      <c r="S3" s="1">
        <v>0.17</v>
      </c>
      <c r="T3" s="1">
        <v>0.18</v>
      </c>
      <c r="U3" s="1">
        <v>0.19</v>
      </c>
      <c r="V3" s="1">
        <v>0.2</v>
      </c>
      <c r="W3" s="1">
        <v>0.21</v>
      </c>
      <c r="X3" s="1">
        <v>0.22</v>
      </c>
      <c r="Y3" s="1">
        <v>0.23</v>
      </c>
      <c r="Z3" s="1">
        <v>0.24</v>
      </c>
      <c r="AA3" s="1">
        <v>0.25</v>
      </c>
      <c r="AB3" s="1">
        <v>0.26</v>
      </c>
      <c r="AC3" s="1">
        <v>0.27</v>
      </c>
      <c r="AD3" s="1">
        <v>0.28000000000000003</v>
      </c>
      <c r="AE3" s="1">
        <v>0.28999999999999998</v>
      </c>
      <c r="AF3" s="1">
        <v>0.3</v>
      </c>
      <c r="AG3" s="1">
        <v>0.4</v>
      </c>
      <c r="AH3" s="1">
        <v>0.5</v>
      </c>
      <c r="AI3" s="1">
        <v>0.6</v>
      </c>
      <c r="AJ3" s="1">
        <v>0.7</v>
      </c>
      <c r="AK3" s="1">
        <v>0.8</v>
      </c>
      <c r="AL3" s="1">
        <v>0.9</v>
      </c>
      <c r="AM3" s="1">
        <v>1</v>
      </c>
      <c r="AN3" s="1">
        <v>2</v>
      </c>
      <c r="AO3" s="1">
        <v>2.4209999999999998</v>
      </c>
      <c r="AP3" s="1">
        <v>2.585</v>
      </c>
      <c r="AQ3" s="1">
        <v>3</v>
      </c>
      <c r="AR3" s="1">
        <v>4</v>
      </c>
      <c r="AS3" s="1">
        <v>5</v>
      </c>
      <c r="AT3" s="1">
        <v>6</v>
      </c>
      <c r="AU3" s="1">
        <v>7</v>
      </c>
      <c r="AV3" s="1">
        <v>8</v>
      </c>
      <c r="AW3" s="1">
        <v>9</v>
      </c>
    </row>
    <row r="4" spans="1:49" x14ac:dyDescent="0.4">
      <c r="A4" s="1">
        <v>20</v>
      </c>
      <c r="B4" s="1">
        <v>511.72455800774401</v>
      </c>
      <c r="C4" s="1">
        <v>481.61293210192008</v>
      </c>
      <c r="D4" s="1">
        <v>491.87164616619526</v>
      </c>
      <c r="E4" s="1">
        <v>499.59202410553695</v>
      </c>
      <c r="F4" s="1">
        <v>505.97608288475334</v>
      </c>
      <c r="G4" s="1">
        <v>511.49302720891143</v>
      </c>
      <c r="H4" s="1">
        <v>516.38533427441291</v>
      </c>
      <c r="I4" s="1">
        <v>520.79815546190594</v>
      </c>
      <c r="J4" s="1">
        <v>524.82680061665553</v>
      </c>
      <c r="K4" s="1">
        <v>528.53799252651959</v>
      </c>
      <c r="L4" s="1">
        <v>531.98069687337136</v>
      </c>
      <c r="M4" s="1">
        <v>535.19217393239433</v>
      </c>
      <c r="N4" s="1">
        <v>538.20160346091234</v>
      </c>
      <c r="O4" s="1">
        <v>541.03237724788698</v>
      </c>
      <c r="P4" s="1">
        <v>543.70361392380903</v>
      </c>
      <c r="Q4" s="1">
        <v>546.23119664032708</v>
      </c>
      <c r="R4" s="1">
        <v>548.62850574313518</v>
      </c>
      <c r="S4" s="1">
        <v>550.90694959108032</v>
      </c>
      <c r="T4" s="1">
        <v>553.07635777125051</v>
      </c>
      <c r="U4" s="1">
        <v>555.14527807418995</v>
      </c>
      <c r="V4" s="1">
        <v>557.12120463473229</v>
      </c>
      <c r="W4" s="1">
        <v>559.01075585806223</v>
      </c>
      <c r="X4" s="1">
        <v>560.81981506564989</v>
      </c>
      <c r="Y4" s="1">
        <v>562.55364302604517</v>
      </c>
      <c r="Z4" s="1">
        <v>564.21696898071605</v>
      </c>
      <c r="AA4" s="1">
        <v>565.81406500933645</v>
      </c>
      <c r="AB4" s="1">
        <v>567.3488073366924</v>
      </c>
      <c r="AC4" s="1">
        <v>568.82472729528467</v>
      </c>
      <c r="AD4" s="1">
        <v>570.24505401340446</v>
      </c>
      <c r="AE4" s="1">
        <v>571.61275042472414</v>
      </c>
      <c r="AF4" s="1">
        <v>572.93054384277082</v>
      </c>
      <c r="AG4" s="1">
        <v>583.83839960526484</v>
      </c>
      <c r="AH4" s="1">
        <v>591.6862671920162</v>
      </c>
      <c r="AI4" s="1">
        <v>597.46666750806935</v>
      </c>
      <c r="AJ4" s="1">
        <v>601.78714408691701</v>
      </c>
      <c r="AK4" s="1">
        <v>605.04812187138657</v>
      </c>
      <c r="AL4" s="1">
        <v>607.52618120166721</v>
      </c>
      <c r="AM4" s="1">
        <v>609.41845202820946</v>
      </c>
      <c r="AN4" s="1">
        <v>615.27050889799204</v>
      </c>
      <c r="AO4" s="1">
        <v>615.58976750068859</v>
      </c>
      <c r="AP4" s="1">
        <v>615.64631776282852</v>
      </c>
      <c r="AQ4" s="1">
        <v>615.71735947105321</v>
      </c>
      <c r="AR4" s="1">
        <v>615.75211610967676</v>
      </c>
      <c r="AS4" s="1">
        <v>615.75482329901956</v>
      </c>
      <c r="AT4" s="1">
        <v>615.75503418443395</v>
      </c>
      <c r="AU4" s="1">
        <v>615.7550506121853</v>
      </c>
      <c r="AV4" s="1">
        <v>615.75505189189062</v>
      </c>
      <c r="AW4" s="1">
        <v>615.75505199157828</v>
      </c>
    </row>
    <row r="5" spans="1:49" x14ac:dyDescent="0.4">
      <c r="A5" s="1">
        <v>80</v>
      </c>
      <c r="B5" s="1">
        <v>468.86384631705602</v>
      </c>
      <c r="C5" s="1">
        <v>481.61293210192008</v>
      </c>
      <c r="D5" s="1">
        <v>491.87164616619526</v>
      </c>
      <c r="E5" s="1">
        <v>499.59202410553695</v>
      </c>
      <c r="F5" s="1">
        <v>505.97608288475334</v>
      </c>
      <c r="G5" s="1">
        <v>511.49302720891143</v>
      </c>
      <c r="H5" s="1">
        <v>516.38533427441291</v>
      </c>
      <c r="I5" s="1">
        <v>520.79815546190594</v>
      </c>
      <c r="J5" s="1">
        <v>524.82680061665553</v>
      </c>
      <c r="K5" s="1">
        <v>528.53799252651959</v>
      </c>
      <c r="L5" s="1">
        <v>531.98069687337136</v>
      </c>
      <c r="M5" s="1">
        <v>535.19217393239433</v>
      </c>
      <c r="N5" s="1">
        <v>538.20160346091234</v>
      </c>
      <c r="O5" s="1">
        <v>541.03237724788698</v>
      </c>
      <c r="P5" s="1">
        <v>543.70361392380903</v>
      </c>
      <c r="Q5" s="1">
        <v>546.23119664032708</v>
      </c>
      <c r="R5" s="1">
        <v>548.62850574313518</v>
      </c>
      <c r="S5" s="1">
        <v>550.90694959108032</v>
      </c>
      <c r="T5" s="1">
        <v>553.07635777125051</v>
      </c>
      <c r="U5" s="1">
        <v>555.14527807418995</v>
      </c>
      <c r="V5" s="1">
        <v>557.12120463473229</v>
      </c>
      <c r="W5" s="1">
        <v>559.01075585806223</v>
      </c>
      <c r="X5" s="1">
        <v>560.81981506564989</v>
      </c>
      <c r="Y5" s="1">
        <v>562.55364302604517</v>
      </c>
      <c r="Z5" s="1">
        <v>564.21696898071605</v>
      </c>
      <c r="AA5" s="1">
        <v>565.81406500933645</v>
      </c>
      <c r="AB5" s="1">
        <v>567.3488073366924</v>
      </c>
      <c r="AC5" s="1">
        <v>568.82472729528467</v>
      </c>
      <c r="AD5" s="1">
        <v>570.24505401340446</v>
      </c>
      <c r="AE5" s="1">
        <v>571.61275042472414</v>
      </c>
      <c r="AF5" s="1">
        <v>572.93054384277082</v>
      </c>
      <c r="AG5" s="1">
        <v>583.83839960526484</v>
      </c>
      <c r="AH5" s="1">
        <v>591.6862671920162</v>
      </c>
      <c r="AI5" s="1">
        <v>597.46666750806935</v>
      </c>
      <c r="AJ5" s="1">
        <v>601.78714408691701</v>
      </c>
      <c r="AK5" s="1">
        <v>605.04812187138657</v>
      </c>
      <c r="AL5" s="1">
        <v>607.52618120166721</v>
      </c>
      <c r="AM5" s="1">
        <v>609.41845202820946</v>
      </c>
      <c r="AN5" s="1">
        <v>615.27050889799204</v>
      </c>
      <c r="AO5" s="1">
        <v>615.58976750068859</v>
      </c>
      <c r="AP5" s="1">
        <v>615.64631776282852</v>
      </c>
      <c r="AQ5" s="1">
        <v>615.71735947105321</v>
      </c>
      <c r="AR5" s="1">
        <v>615.75211610967676</v>
      </c>
      <c r="AS5" s="1">
        <v>615.75482329901956</v>
      </c>
      <c r="AT5" s="1">
        <v>615.75503418443395</v>
      </c>
      <c r="AU5" s="1">
        <v>615.7550506121853</v>
      </c>
      <c r="AV5" s="1">
        <v>615.75505189189062</v>
      </c>
      <c r="AW5" s="1">
        <v>615.75505199157828</v>
      </c>
    </row>
    <row r="6" spans="1:49" x14ac:dyDescent="0.4">
      <c r="A6" s="1">
        <v>100</v>
      </c>
      <c r="B6" s="1">
        <v>457.92995020000001</v>
      </c>
      <c r="C6" s="1">
        <v>481.61293210192008</v>
      </c>
      <c r="D6" s="1">
        <v>491.87164616619526</v>
      </c>
      <c r="E6" s="1">
        <v>499.59202410553695</v>
      </c>
      <c r="F6" s="1">
        <v>505.97608288475334</v>
      </c>
      <c r="G6" s="1">
        <v>511.49302720891143</v>
      </c>
      <c r="H6" s="1">
        <v>516.38533427441291</v>
      </c>
      <c r="I6" s="1">
        <v>520.79815546190594</v>
      </c>
      <c r="J6" s="1">
        <v>524.82680061665553</v>
      </c>
      <c r="K6" s="1">
        <v>528.53799252651959</v>
      </c>
      <c r="L6" s="1">
        <v>531.98069687337136</v>
      </c>
      <c r="M6" s="1">
        <v>535.19217393239433</v>
      </c>
      <c r="N6" s="1">
        <v>538.20160346091234</v>
      </c>
      <c r="O6" s="1">
        <v>541.03237724788698</v>
      </c>
      <c r="P6" s="1">
        <v>543.70361392380903</v>
      </c>
      <c r="Q6" s="1">
        <v>546.23119664032708</v>
      </c>
      <c r="R6" s="1">
        <v>548.62850574313518</v>
      </c>
      <c r="S6" s="1">
        <v>550.90694959108032</v>
      </c>
      <c r="T6" s="1">
        <v>553.07635777125051</v>
      </c>
      <c r="U6" s="1">
        <v>555.14527807418995</v>
      </c>
      <c r="V6" s="1">
        <v>557.12120463473229</v>
      </c>
      <c r="W6" s="1">
        <v>559.01075585806223</v>
      </c>
      <c r="X6" s="1">
        <v>560.81981506564989</v>
      </c>
      <c r="Y6" s="1">
        <v>562.55364302604517</v>
      </c>
      <c r="Z6" s="1">
        <v>564.21696898071605</v>
      </c>
      <c r="AA6" s="1">
        <v>565.81406500933645</v>
      </c>
      <c r="AB6" s="1">
        <v>567.3488073366924</v>
      </c>
      <c r="AC6" s="1">
        <v>568.82472729528467</v>
      </c>
      <c r="AD6" s="1">
        <v>570.24505401340446</v>
      </c>
      <c r="AE6" s="1">
        <v>571.61275042472414</v>
      </c>
      <c r="AF6" s="1">
        <v>572.93054384277082</v>
      </c>
      <c r="AG6" s="1">
        <v>583.83839960526484</v>
      </c>
      <c r="AH6" s="1">
        <v>591.6862671920162</v>
      </c>
      <c r="AI6" s="1">
        <v>597.46666750806935</v>
      </c>
      <c r="AJ6" s="1">
        <v>601.78714408691701</v>
      </c>
      <c r="AK6" s="1">
        <v>605.04812187138657</v>
      </c>
      <c r="AL6" s="1">
        <v>607.52618120166721</v>
      </c>
      <c r="AM6" s="1">
        <v>609.41845202820946</v>
      </c>
      <c r="AN6" s="1">
        <v>615.27050889799204</v>
      </c>
      <c r="AO6" s="1">
        <v>615.58976750068859</v>
      </c>
      <c r="AP6" s="1">
        <v>615.64631776282852</v>
      </c>
      <c r="AQ6" s="1">
        <v>615.71735947105321</v>
      </c>
      <c r="AR6" s="1">
        <v>615.75211610967676</v>
      </c>
      <c r="AS6" s="1">
        <v>615.75482329901956</v>
      </c>
      <c r="AT6" s="1">
        <v>615.75503418443395</v>
      </c>
      <c r="AU6" s="1">
        <v>615.7550506121853</v>
      </c>
      <c r="AV6" s="1">
        <v>615.75505189189062</v>
      </c>
      <c r="AW6" s="1">
        <v>615.75505199157828</v>
      </c>
    </row>
    <row r="7" spans="1:49" x14ac:dyDescent="0.4">
      <c r="A7" s="1">
        <v>125</v>
      </c>
      <c r="B7" s="1">
        <v>446.33072204589843</v>
      </c>
      <c r="C7" s="1">
        <v>481.61293210192008</v>
      </c>
      <c r="D7" s="1">
        <v>491.87164616619526</v>
      </c>
      <c r="E7" s="1">
        <v>499.59202410553695</v>
      </c>
      <c r="F7" s="1">
        <v>505.97608288475334</v>
      </c>
      <c r="G7" s="1">
        <v>511.49302720891143</v>
      </c>
      <c r="H7" s="1">
        <v>516.38533427441291</v>
      </c>
      <c r="I7" s="1">
        <v>520.79815546190594</v>
      </c>
      <c r="J7" s="1">
        <v>524.82680061665553</v>
      </c>
      <c r="K7" s="1">
        <v>528.53799252651959</v>
      </c>
      <c r="L7" s="1">
        <v>531.98069687337136</v>
      </c>
      <c r="M7" s="1">
        <v>535.19217393239433</v>
      </c>
      <c r="N7" s="1">
        <v>538.20160346091234</v>
      </c>
      <c r="O7" s="1">
        <v>541.03237724788698</v>
      </c>
      <c r="P7" s="1">
        <v>543.70361392380903</v>
      </c>
      <c r="Q7" s="1">
        <v>546.23119664032708</v>
      </c>
      <c r="R7" s="1">
        <v>548.62850574313518</v>
      </c>
      <c r="S7" s="1">
        <v>550.90694959108032</v>
      </c>
      <c r="T7" s="1">
        <v>553.07635777125051</v>
      </c>
      <c r="U7" s="1">
        <v>555.14527807418995</v>
      </c>
      <c r="V7" s="1">
        <v>557.12120463473229</v>
      </c>
      <c r="W7" s="1">
        <v>559.01075585806223</v>
      </c>
      <c r="X7" s="1">
        <v>560.81981506564989</v>
      </c>
      <c r="Y7" s="1">
        <v>562.55364302604517</v>
      </c>
      <c r="Z7" s="1">
        <v>564.21696898071605</v>
      </c>
      <c r="AA7" s="1">
        <v>565.81406500933645</v>
      </c>
      <c r="AB7" s="1">
        <v>567.3488073366924</v>
      </c>
      <c r="AC7" s="1">
        <v>568.82472729528467</v>
      </c>
      <c r="AD7" s="1">
        <v>570.24505401340446</v>
      </c>
      <c r="AE7" s="1">
        <v>571.61275042472414</v>
      </c>
      <c r="AF7" s="1">
        <v>572.93054384277082</v>
      </c>
      <c r="AG7" s="1">
        <v>583.83839960526484</v>
      </c>
      <c r="AH7" s="1">
        <v>591.6862671920162</v>
      </c>
      <c r="AI7" s="1">
        <v>597.46666750806935</v>
      </c>
      <c r="AJ7" s="1">
        <v>601.78714408691701</v>
      </c>
      <c r="AK7" s="1">
        <v>605.04812187138657</v>
      </c>
      <c r="AL7" s="1">
        <v>607.52618120166721</v>
      </c>
      <c r="AM7" s="1">
        <v>609.41845202820946</v>
      </c>
      <c r="AN7" s="1">
        <v>615.27050889799204</v>
      </c>
      <c r="AO7" s="1">
        <v>615.58976750068859</v>
      </c>
      <c r="AP7" s="1">
        <v>615.64631776282852</v>
      </c>
      <c r="AQ7" s="1">
        <v>615.71735947105321</v>
      </c>
      <c r="AR7" s="1">
        <v>615.75211610967676</v>
      </c>
      <c r="AS7" s="1">
        <v>615.75482329901956</v>
      </c>
      <c r="AT7" s="1">
        <v>615.75503418443395</v>
      </c>
      <c r="AU7" s="1">
        <v>615.7550506121853</v>
      </c>
      <c r="AV7" s="1">
        <v>615.75505189189062</v>
      </c>
      <c r="AW7" s="1">
        <v>615.75505199157828</v>
      </c>
    </row>
    <row r="8" spans="1:49" x14ac:dyDescent="0.4">
      <c r="A8" s="1">
        <v>150</v>
      </c>
      <c r="B8" s="1">
        <v>436.81191758125004</v>
      </c>
      <c r="C8" s="1">
        <v>481.61293210192008</v>
      </c>
      <c r="D8" s="1">
        <v>491.87164616619526</v>
      </c>
      <c r="E8" s="1">
        <v>499.59202410553695</v>
      </c>
      <c r="F8" s="1">
        <v>505.97608288475334</v>
      </c>
      <c r="G8" s="1">
        <v>511.49302720891143</v>
      </c>
      <c r="H8" s="1">
        <v>516.38533427441291</v>
      </c>
      <c r="I8" s="1">
        <v>520.79815546190594</v>
      </c>
      <c r="J8" s="1">
        <v>524.82680061665553</v>
      </c>
      <c r="K8" s="1">
        <v>528.53799252651959</v>
      </c>
      <c r="L8" s="1">
        <v>531.98069687337136</v>
      </c>
      <c r="M8" s="1">
        <v>535.19217393239433</v>
      </c>
      <c r="N8" s="1">
        <v>538.20160346091234</v>
      </c>
      <c r="O8" s="1">
        <v>541.03237724788698</v>
      </c>
      <c r="P8" s="1">
        <v>543.70361392380903</v>
      </c>
      <c r="Q8" s="1">
        <v>546.23119664032708</v>
      </c>
      <c r="R8" s="1">
        <v>548.62850574313518</v>
      </c>
      <c r="S8" s="1">
        <v>550.90694959108032</v>
      </c>
      <c r="T8" s="1">
        <v>553.07635777125051</v>
      </c>
      <c r="U8" s="1">
        <v>555.14527807418995</v>
      </c>
      <c r="V8" s="1">
        <v>557.12120463473229</v>
      </c>
      <c r="W8" s="1">
        <v>559.01075585806223</v>
      </c>
      <c r="X8" s="1">
        <v>560.81981506564989</v>
      </c>
      <c r="Y8" s="1">
        <v>562.55364302604517</v>
      </c>
      <c r="Z8" s="1">
        <v>564.21696898071605</v>
      </c>
      <c r="AA8" s="1">
        <v>565.81406500933645</v>
      </c>
      <c r="AB8" s="1">
        <v>567.3488073366924</v>
      </c>
      <c r="AC8" s="1">
        <v>568.82472729528467</v>
      </c>
      <c r="AD8" s="1">
        <v>570.24505401340446</v>
      </c>
      <c r="AE8" s="1">
        <v>571.61275042472414</v>
      </c>
      <c r="AF8" s="1">
        <v>572.93054384277082</v>
      </c>
      <c r="AG8" s="1">
        <v>583.83839960526484</v>
      </c>
      <c r="AH8" s="1">
        <v>591.6862671920162</v>
      </c>
      <c r="AI8" s="1">
        <v>597.46666750806935</v>
      </c>
      <c r="AJ8" s="1">
        <v>601.78714408691701</v>
      </c>
      <c r="AK8" s="1">
        <v>605.04812187138657</v>
      </c>
      <c r="AL8" s="1">
        <v>607.52618120166721</v>
      </c>
      <c r="AM8" s="1">
        <v>609.41845202820946</v>
      </c>
      <c r="AN8" s="1">
        <v>615.27050889799204</v>
      </c>
      <c r="AO8" s="1">
        <v>615.58976750068859</v>
      </c>
      <c r="AP8" s="1">
        <v>615.64631776282852</v>
      </c>
      <c r="AQ8" s="1">
        <v>615.71735947105321</v>
      </c>
      <c r="AR8" s="1">
        <v>615.75211610967676</v>
      </c>
      <c r="AS8" s="1">
        <v>615.75482329901956</v>
      </c>
      <c r="AT8" s="1">
        <v>615.75503418443395</v>
      </c>
      <c r="AU8" s="1">
        <v>615.7550506121853</v>
      </c>
      <c r="AV8" s="1">
        <v>615.75505189189062</v>
      </c>
      <c r="AW8" s="1">
        <v>615.75505199157828</v>
      </c>
    </row>
    <row r="9" spans="1:49" x14ac:dyDescent="0.4">
      <c r="A9" s="1">
        <v>175</v>
      </c>
      <c r="B9" s="1">
        <v>429.13853519863278</v>
      </c>
      <c r="C9" s="1">
        <v>481.61293210192008</v>
      </c>
      <c r="D9" s="1">
        <v>491.87164616619526</v>
      </c>
      <c r="E9" s="1">
        <v>499.59202410553695</v>
      </c>
      <c r="F9" s="1">
        <v>505.97608288475334</v>
      </c>
      <c r="G9" s="1">
        <v>511.49302720891143</v>
      </c>
      <c r="H9" s="1">
        <v>516.38533427441291</v>
      </c>
      <c r="I9" s="1">
        <v>520.79815546190594</v>
      </c>
      <c r="J9" s="1">
        <v>524.82680061665553</v>
      </c>
      <c r="K9" s="1">
        <v>528.53799252651959</v>
      </c>
      <c r="L9" s="1">
        <v>531.98069687337136</v>
      </c>
      <c r="M9" s="1">
        <v>535.19217393239433</v>
      </c>
      <c r="N9" s="1">
        <v>538.20160346091234</v>
      </c>
      <c r="O9" s="1">
        <v>541.03237724788698</v>
      </c>
      <c r="P9" s="1">
        <v>543.70361392380903</v>
      </c>
      <c r="Q9" s="1">
        <v>546.23119664032708</v>
      </c>
      <c r="R9" s="1">
        <v>548.62850574313518</v>
      </c>
      <c r="S9" s="1">
        <v>550.90694959108032</v>
      </c>
      <c r="T9" s="1">
        <v>553.07635777125051</v>
      </c>
      <c r="U9" s="1">
        <v>555.14527807418995</v>
      </c>
      <c r="V9" s="1">
        <v>557.12120463473229</v>
      </c>
      <c r="W9" s="1">
        <v>559.01075585806223</v>
      </c>
      <c r="X9" s="1">
        <v>560.81981506564989</v>
      </c>
      <c r="Y9" s="1">
        <v>562.55364302604517</v>
      </c>
      <c r="Z9" s="1">
        <v>564.21696898071605</v>
      </c>
      <c r="AA9" s="1">
        <v>565.81406500933645</v>
      </c>
      <c r="AB9" s="1">
        <v>567.3488073366924</v>
      </c>
      <c r="AC9" s="1">
        <v>568.82472729528467</v>
      </c>
      <c r="AD9" s="1">
        <v>570.24505401340446</v>
      </c>
      <c r="AE9" s="1">
        <v>571.61275042472414</v>
      </c>
      <c r="AF9" s="1">
        <v>572.93054384277082</v>
      </c>
      <c r="AG9" s="1">
        <v>583.83839960526484</v>
      </c>
      <c r="AH9" s="1">
        <v>591.6862671920162</v>
      </c>
      <c r="AI9" s="1">
        <v>597.46666750806935</v>
      </c>
      <c r="AJ9" s="1">
        <v>601.78714408691701</v>
      </c>
      <c r="AK9" s="1">
        <v>605.04812187138657</v>
      </c>
      <c r="AL9" s="1">
        <v>607.52618120166721</v>
      </c>
      <c r="AM9" s="1">
        <v>609.41845202820946</v>
      </c>
      <c r="AN9" s="1">
        <v>615.27050889799204</v>
      </c>
      <c r="AO9" s="1">
        <v>615.58976750068859</v>
      </c>
      <c r="AP9" s="1">
        <v>615.64631776282852</v>
      </c>
      <c r="AQ9" s="1">
        <v>615.71735947105321</v>
      </c>
      <c r="AR9" s="1">
        <v>615.75211610967676</v>
      </c>
      <c r="AS9" s="1">
        <v>615.75482329901956</v>
      </c>
      <c r="AT9" s="1">
        <v>615.75503418443395</v>
      </c>
      <c r="AU9" s="1">
        <v>615.7550506121853</v>
      </c>
      <c r="AV9" s="1">
        <v>615.75505189189062</v>
      </c>
      <c r="AW9" s="1">
        <v>615.75505199157828</v>
      </c>
    </row>
    <row r="10" spans="1:49" x14ac:dyDescent="0.4">
      <c r="A10" s="1">
        <v>227</v>
      </c>
      <c r="B10" s="1">
        <v>418.05669541820424</v>
      </c>
      <c r="C10" s="1">
        <v>410.62552430744444</v>
      </c>
      <c r="D10" s="1">
        <v>416.96378131369198</v>
      </c>
      <c r="E10" s="1">
        <v>421.82063238011682</v>
      </c>
      <c r="F10" s="1">
        <v>425.90957403054074</v>
      </c>
      <c r="G10" s="1">
        <v>429.5071107348993</v>
      </c>
      <c r="H10" s="1">
        <v>432.75511861565752</v>
      </c>
      <c r="I10" s="1">
        <v>435.73791833394944</v>
      </c>
      <c r="J10" s="1">
        <v>438.51047522616346</v>
      </c>
      <c r="K10" s="1">
        <v>441.11098621332741</v>
      </c>
      <c r="L10" s="1">
        <v>443.56727525537843</v>
      </c>
      <c r="M10" s="1">
        <v>445.90035703257564</v>
      </c>
      <c r="N10" s="1">
        <v>448.12656551910089</v>
      </c>
      <c r="O10" s="1">
        <v>450.25889637126687</v>
      </c>
      <c r="P10" s="1">
        <v>452.30789137907817</v>
      </c>
      <c r="Q10" s="1">
        <v>454.28224258932681</v>
      </c>
      <c r="R10" s="1">
        <v>456.18921761713676</v>
      </c>
      <c r="S10" s="1">
        <v>458.03496687788271</v>
      </c>
      <c r="T10" s="1">
        <v>459.82475050043155</v>
      </c>
      <c r="U10" s="1">
        <v>461.56310918946457</v>
      </c>
      <c r="V10" s="1">
        <v>463.25399508689014</v>
      </c>
      <c r="W10" s="1">
        <v>464.90087351757796</v>
      </c>
      <c r="X10" s="1">
        <v>466.50680316770575</v>
      </c>
      <c r="Y10" s="1">
        <v>468.07450003459275</v>
      </c>
      <c r="Z10" s="1">
        <v>469.60638899173688</v>
      </c>
      <c r="AA10" s="1">
        <v>471.10464578093701</v>
      </c>
      <c r="AB10" s="1">
        <v>472.57123151854847</v>
      </c>
      <c r="AC10" s="1">
        <v>474.00792128551967</v>
      </c>
      <c r="AD10" s="1">
        <v>475.41632799605071</v>
      </c>
      <c r="AE10" s="1">
        <v>476.79792246454059</v>
      </c>
      <c r="AF10" s="1">
        <v>478.15405038596231</v>
      </c>
      <c r="AG10" s="1">
        <v>490.54498958320465</v>
      </c>
      <c r="AH10" s="1">
        <v>501.31372066473551</v>
      </c>
      <c r="AI10" s="1">
        <v>510.91748979652931</v>
      </c>
      <c r="AJ10" s="1">
        <v>519.62935213344258</v>
      </c>
      <c r="AK10" s="1">
        <v>527.62816375044429</v>
      </c>
      <c r="AL10" s="1">
        <v>535.03882593850869</v>
      </c>
      <c r="AM10" s="1">
        <v>541.95277232508897</v>
      </c>
      <c r="AN10" s="1">
        <v>593.94317703460433</v>
      </c>
      <c r="AO10" s="1">
        <v>610.00678248081624</v>
      </c>
      <c r="AP10" s="1">
        <v>615.64499781589973</v>
      </c>
      <c r="AQ10" s="1">
        <v>628.6320335549857</v>
      </c>
      <c r="AR10" s="1">
        <v>654.05025742122518</v>
      </c>
      <c r="AS10" s="1">
        <v>673.49434560367877</v>
      </c>
      <c r="AT10" s="1">
        <v>688.73954885544401</v>
      </c>
      <c r="AU10" s="1">
        <v>700.88300047585653</v>
      </c>
      <c r="AV10" s="1">
        <v>710.66137678155235</v>
      </c>
      <c r="AW10" s="1">
        <v>718.59707075261247</v>
      </c>
    </row>
    <row r="11" spans="1:49" x14ac:dyDescent="0.4">
      <c r="A11" s="1">
        <v>283.5</v>
      </c>
      <c r="B11" s="1">
        <v>411.40307673140023</v>
      </c>
      <c r="C11" s="1">
        <v>410.62552430744444</v>
      </c>
      <c r="D11" s="1">
        <v>416.96378131369198</v>
      </c>
      <c r="E11" s="1">
        <v>421.82063238011682</v>
      </c>
      <c r="F11" s="1">
        <v>425.90957403054074</v>
      </c>
      <c r="G11" s="1">
        <v>429.5071107348993</v>
      </c>
      <c r="H11" s="1">
        <v>432.75511861565752</v>
      </c>
      <c r="I11" s="1">
        <v>435.73791833394944</v>
      </c>
      <c r="J11" s="1">
        <v>438.51047522616346</v>
      </c>
      <c r="K11" s="1">
        <v>441.11098621332741</v>
      </c>
      <c r="L11" s="1">
        <v>443.56727525537843</v>
      </c>
      <c r="M11" s="1">
        <v>445.90035703257564</v>
      </c>
      <c r="N11" s="1">
        <v>448.12656551910089</v>
      </c>
      <c r="O11" s="1">
        <v>450.25889637126687</v>
      </c>
      <c r="P11" s="1">
        <v>452.30789137907817</v>
      </c>
      <c r="Q11" s="1">
        <v>454.28224258932681</v>
      </c>
      <c r="R11" s="1">
        <v>456.18921761713676</v>
      </c>
      <c r="S11" s="1">
        <v>458.03496687788271</v>
      </c>
      <c r="T11" s="1">
        <v>459.82475050043155</v>
      </c>
      <c r="U11" s="1">
        <v>461.56310918946457</v>
      </c>
      <c r="V11" s="1">
        <v>463.25399508689014</v>
      </c>
      <c r="W11" s="1">
        <v>464.90087351757796</v>
      </c>
      <c r="X11" s="1">
        <v>466.50680316770575</v>
      </c>
      <c r="Y11" s="1">
        <v>468.07450003459275</v>
      </c>
      <c r="Z11" s="1">
        <v>469.60638899173688</v>
      </c>
      <c r="AA11" s="1">
        <v>471.10464578093701</v>
      </c>
      <c r="AB11" s="1">
        <v>472.57123151854847</v>
      </c>
      <c r="AC11" s="1">
        <v>474.00792128551967</v>
      </c>
      <c r="AD11" s="1">
        <v>475.41632799605071</v>
      </c>
      <c r="AE11" s="1">
        <v>476.79792246454059</v>
      </c>
      <c r="AF11" s="1">
        <v>478.15405038596231</v>
      </c>
      <c r="AG11" s="1">
        <v>490.54498958320465</v>
      </c>
      <c r="AH11" s="1">
        <v>501.31372066473551</v>
      </c>
      <c r="AI11" s="1">
        <v>510.91748979652931</v>
      </c>
      <c r="AJ11" s="1">
        <v>519.62935213344258</v>
      </c>
      <c r="AK11" s="1">
        <v>527.62816375044429</v>
      </c>
      <c r="AL11" s="1">
        <v>535.03882593850869</v>
      </c>
      <c r="AM11" s="1">
        <v>541.95277232508897</v>
      </c>
      <c r="AN11" s="1">
        <v>593.94317703460433</v>
      </c>
      <c r="AO11" s="1">
        <v>610.00678248081624</v>
      </c>
      <c r="AP11" s="1">
        <v>615.64499781589973</v>
      </c>
      <c r="AQ11" s="1">
        <v>628.6320335549857</v>
      </c>
      <c r="AR11" s="1">
        <v>654.05025742122518</v>
      </c>
      <c r="AS11" s="1">
        <v>673.49434560367877</v>
      </c>
      <c r="AT11" s="1">
        <v>688.73954885544401</v>
      </c>
      <c r="AU11" s="1">
        <v>700.88300047585653</v>
      </c>
      <c r="AV11" s="1">
        <v>710.66137678155235</v>
      </c>
      <c r="AW11" s="1">
        <v>718.59707075261247</v>
      </c>
    </row>
    <row r="12" spans="1:49" x14ac:dyDescent="0.4">
      <c r="A12" s="1">
        <v>340</v>
      </c>
      <c r="B12" s="1">
        <v>407.67392326700798</v>
      </c>
      <c r="C12" s="1">
        <v>410.62552430744444</v>
      </c>
      <c r="D12" s="1">
        <v>416.96378131369198</v>
      </c>
      <c r="E12" s="1">
        <v>421.82063238011682</v>
      </c>
      <c r="F12" s="1">
        <v>425.90957403054074</v>
      </c>
      <c r="G12" s="1">
        <v>429.5071107348993</v>
      </c>
      <c r="H12" s="1">
        <v>432.75511861565752</v>
      </c>
      <c r="I12" s="1">
        <v>435.73791833394944</v>
      </c>
      <c r="J12" s="1">
        <v>438.51047522616346</v>
      </c>
      <c r="K12" s="1">
        <v>441.11098621332741</v>
      </c>
      <c r="L12" s="1">
        <v>443.56727525537843</v>
      </c>
      <c r="M12" s="1">
        <v>445.90035703257564</v>
      </c>
      <c r="N12" s="1">
        <v>448.12656551910089</v>
      </c>
      <c r="O12" s="1">
        <v>450.25889637126687</v>
      </c>
      <c r="P12" s="1">
        <v>452.30789137907817</v>
      </c>
      <c r="Q12" s="1">
        <v>454.28224258932681</v>
      </c>
      <c r="R12" s="1">
        <v>456.18921761713676</v>
      </c>
      <c r="S12" s="1">
        <v>458.03496687788271</v>
      </c>
      <c r="T12" s="1">
        <v>459.82475050043155</v>
      </c>
      <c r="U12" s="1">
        <v>461.56310918946457</v>
      </c>
      <c r="V12" s="1">
        <v>463.25399508689014</v>
      </c>
      <c r="W12" s="1">
        <v>464.90087351757796</v>
      </c>
      <c r="X12" s="1">
        <v>466.50680316770575</v>
      </c>
      <c r="Y12" s="1">
        <v>468.07450003459275</v>
      </c>
      <c r="Z12" s="1">
        <v>469.60638899173688</v>
      </c>
      <c r="AA12" s="1">
        <v>471.10464578093701</v>
      </c>
      <c r="AB12" s="1">
        <v>472.57123151854847</v>
      </c>
      <c r="AC12" s="1">
        <v>474.00792128551967</v>
      </c>
      <c r="AD12" s="1">
        <v>475.41632799605071</v>
      </c>
      <c r="AE12" s="1">
        <v>476.79792246454059</v>
      </c>
      <c r="AF12" s="1">
        <v>478.15405038596231</v>
      </c>
      <c r="AG12" s="1">
        <v>490.54498958320465</v>
      </c>
      <c r="AH12" s="1">
        <v>501.31372066473551</v>
      </c>
      <c r="AI12" s="1">
        <v>510.91748979652931</v>
      </c>
      <c r="AJ12" s="1">
        <v>519.62935213344258</v>
      </c>
      <c r="AK12" s="1">
        <v>527.62816375044429</v>
      </c>
      <c r="AL12" s="1">
        <v>535.03882593850869</v>
      </c>
      <c r="AM12" s="1">
        <v>541.95277232508897</v>
      </c>
      <c r="AN12" s="1">
        <v>593.94317703460433</v>
      </c>
      <c r="AO12" s="1">
        <v>610.00678248081624</v>
      </c>
      <c r="AP12" s="1">
        <v>615.64499781589973</v>
      </c>
      <c r="AQ12" s="1">
        <v>628.6320335549857</v>
      </c>
      <c r="AR12" s="1">
        <v>654.05025742122518</v>
      </c>
      <c r="AS12" s="1">
        <v>673.49434560367877</v>
      </c>
      <c r="AT12" s="1">
        <v>688.73954885544401</v>
      </c>
      <c r="AU12" s="1">
        <v>700.88300047585653</v>
      </c>
      <c r="AV12" s="1">
        <v>710.66137678155235</v>
      </c>
      <c r="AW12" s="1">
        <v>718.59707075261247</v>
      </c>
    </row>
    <row r="13" spans="1:49" x14ac:dyDescent="0.4">
      <c r="A13" s="1">
        <v>350</v>
      </c>
      <c r="B13" s="1">
        <v>407</v>
      </c>
      <c r="C13" s="78">
        <v>410.62552430744444</v>
      </c>
      <c r="D13" s="78">
        <v>416.96378131369198</v>
      </c>
      <c r="E13" s="78">
        <v>421.82063238011682</v>
      </c>
      <c r="F13" s="78">
        <v>425.90957403054074</v>
      </c>
      <c r="G13" s="78">
        <v>429.5071107348993</v>
      </c>
      <c r="H13" s="78">
        <v>432.75511861565752</v>
      </c>
      <c r="I13" s="78">
        <v>435.73791833394944</v>
      </c>
      <c r="J13" s="78">
        <v>438.51047522616346</v>
      </c>
      <c r="K13" s="78">
        <v>441.11098621332741</v>
      </c>
      <c r="L13" s="78">
        <v>443.56727525537843</v>
      </c>
      <c r="M13" s="78">
        <v>445.90035703257564</v>
      </c>
      <c r="N13" s="78">
        <v>448.12656551910089</v>
      </c>
      <c r="O13" s="78">
        <v>450.25889637126687</v>
      </c>
      <c r="P13" s="78">
        <v>452.30789137907817</v>
      </c>
      <c r="Q13" s="78">
        <v>454.28224258932681</v>
      </c>
      <c r="R13" s="78">
        <v>456.18921761713676</v>
      </c>
      <c r="S13" s="78">
        <v>458.03496687788271</v>
      </c>
      <c r="T13" s="78">
        <v>459.82475050043155</v>
      </c>
      <c r="U13" s="78">
        <v>461.56310918946457</v>
      </c>
      <c r="V13" s="78">
        <v>463.25399508689014</v>
      </c>
      <c r="W13" s="78">
        <v>464.90087351757796</v>
      </c>
      <c r="X13" s="78">
        <v>466.50680316770575</v>
      </c>
      <c r="Y13" s="78">
        <v>468.07450003459275</v>
      </c>
      <c r="Z13" s="78">
        <v>469.60638899173688</v>
      </c>
      <c r="AA13" s="78">
        <v>471.10464578093701</v>
      </c>
      <c r="AB13" s="78">
        <v>472.57123151854847</v>
      </c>
      <c r="AC13" s="78">
        <v>474.00792128551967</v>
      </c>
      <c r="AD13" s="78">
        <v>475.41632799605071</v>
      </c>
      <c r="AE13" s="78">
        <v>476.79792246454059</v>
      </c>
      <c r="AF13" s="78">
        <v>478.15405038596231</v>
      </c>
      <c r="AG13" s="78">
        <v>490.54498958320465</v>
      </c>
      <c r="AH13" s="78">
        <v>501.31372066473551</v>
      </c>
      <c r="AI13" s="78">
        <v>510.91748979652931</v>
      </c>
      <c r="AJ13" s="78">
        <v>519.62935213344258</v>
      </c>
      <c r="AK13" s="78">
        <v>527.62816375044429</v>
      </c>
      <c r="AL13" s="78">
        <v>535.03882593850869</v>
      </c>
      <c r="AM13" s="78">
        <v>541.95277232508897</v>
      </c>
      <c r="AN13" s="78">
        <v>593.94317703460433</v>
      </c>
      <c r="AO13" s="78">
        <v>610.00678248081624</v>
      </c>
      <c r="AP13" s="78">
        <v>615.64499781589973</v>
      </c>
      <c r="AQ13" s="78">
        <v>628.6320335549857</v>
      </c>
      <c r="AR13" s="78">
        <v>654.05025742122518</v>
      </c>
      <c r="AS13" s="78">
        <v>673.49434560367877</v>
      </c>
      <c r="AT13" s="78">
        <v>688.73954885544401</v>
      </c>
      <c r="AU13" s="78">
        <v>700.88300047585653</v>
      </c>
      <c r="AV13" s="78">
        <v>710.66137678155235</v>
      </c>
      <c r="AW13" s="78">
        <v>718.59707075261247</v>
      </c>
    </row>
    <row r="14" spans="1:49" x14ac:dyDescent="0.4">
      <c r="A14" s="1">
        <v>375</v>
      </c>
      <c r="B14" s="1">
        <v>406</v>
      </c>
      <c r="C14" s="78">
        <v>410.62552430744444</v>
      </c>
      <c r="D14" s="78">
        <v>416.96378131369198</v>
      </c>
      <c r="E14" s="78">
        <v>421.82063238011682</v>
      </c>
      <c r="F14" s="78">
        <v>425.90957403054074</v>
      </c>
      <c r="G14" s="78">
        <v>429.5071107348993</v>
      </c>
      <c r="H14" s="78">
        <v>432.75511861565752</v>
      </c>
      <c r="I14" s="78">
        <v>435.73791833394944</v>
      </c>
      <c r="J14" s="78">
        <v>438.51047522616346</v>
      </c>
      <c r="K14" s="78">
        <v>441.11098621332741</v>
      </c>
      <c r="L14" s="78">
        <v>443.56727525537843</v>
      </c>
      <c r="M14" s="78">
        <v>445.90035703257564</v>
      </c>
      <c r="N14" s="78">
        <v>448.12656551910089</v>
      </c>
      <c r="O14" s="78">
        <v>450.25889637126687</v>
      </c>
      <c r="P14" s="78">
        <v>452.30789137907817</v>
      </c>
      <c r="Q14" s="78">
        <v>454.28224258932681</v>
      </c>
      <c r="R14" s="78">
        <v>456.18921761713676</v>
      </c>
      <c r="S14" s="78">
        <v>458.03496687788271</v>
      </c>
      <c r="T14" s="78">
        <v>459.82475050043155</v>
      </c>
      <c r="U14" s="78">
        <v>461.56310918946457</v>
      </c>
      <c r="V14" s="78">
        <v>463.25399508689014</v>
      </c>
      <c r="W14" s="78">
        <v>464.90087351757796</v>
      </c>
      <c r="X14" s="78">
        <v>466.50680316770575</v>
      </c>
      <c r="Y14" s="78">
        <v>468.07450003459275</v>
      </c>
      <c r="Z14" s="78">
        <v>469.60638899173688</v>
      </c>
      <c r="AA14" s="78">
        <v>471.10464578093701</v>
      </c>
      <c r="AB14" s="78">
        <v>472.57123151854847</v>
      </c>
      <c r="AC14" s="78">
        <v>474.00792128551967</v>
      </c>
      <c r="AD14" s="78">
        <v>475.41632799605071</v>
      </c>
      <c r="AE14" s="78">
        <v>476.79792246454059</v>
      </c>
      <c r="AF14" s="78">
        <v>478.15405038596231</v>
      </c>
      <c r="AG14" s="78">
        <v>490.54498958320465</v>
      </c>
      <c r="AH14" s="78">
        <v>501.31372066473551</v>
      </c>
      <c r="AI14" s="78">
        <v>510.91748979652931</v>
      </c>
      <c r="AJ14" s="78">
        <v>519.62935213344258</v>
      </c>
      <c r="AK14" s="78">
        <v>527.62816375044429</v>
      </c>
      <c r="AL14" s="78">
        <v>535.03882593850869</v>
      </c>
      <c r="AM14" s="78">
        <v>541.95277232508897</v>
      </c>
      <c r="AN14" s="78">
        <v>593.94317703460433</v>
      </c>
      <c r="AO14" s="78">
        <v>610.00678248081624</v>
      </c>
      <c r="AP14" s="78">
        <v>615.64499781589973</v>
      </c>
      <c r="AQ14" s="78">
        <v>628.6320335549857</v>
      </c>
      <c r="AR14" s="78">
        <v>654.05025742122518</v>
      </c>
      <c r="AS14" s="78">
        <v>673.49434560367877</v>
      </c>
      <c r="AT14" s="78">
        <v>688.73954885544401</v>
      </c>
      <c r="AU14" s="78">
        <v>700.88300047585653</v>
      </c>
      <c r="AV14" s="78">
        <v>710.66137678155235</v>
      </c>
      <c r="AW14" s="78">
        <v>718.59707075261247</v>
      </c>
    </row>
    <row r="15" spans="1:49" x14ac:dyDescent="0.4">
      <c r="A15" s="1">
        <v>400</v>
      </c>
      <c r="B15" s="1">
        <v>404</v>
      </c>
      <c r="C15" s="78">
        <v>410.62552430744444</v>
      </c>
      <c r="D15" s="78">
        <v>416.96378131369198</v>
      </c>
      <c r="E15" s="78">
        <v>421.82063238011682</v>
      </c>
      <c r="F15" s="78">
        <v>425.90957403054074</v>
      </c>
      <c r="G15" s="78">
        <v>429.5071107348993</v>
      </c>
      <c r="H15" s="78">
        <v>432.75511861565752</v>
      </c>
      <c r="I15" s="78">
        <v>435.73791833394944</v>
      </c>
      <c r="J15" s="78">
        <v>438.51047522616346</v>
      </c>
      <c r="K15" s="78">
        <v>441.11098621332741</v>
      </c>
      <c r="L15" s="78">
        <v>443.56727525537843</v>
      </c>
      <c r="M15" s="78">
        <v>445.90035703257564</v>
      </c>
      <c r="N15" s="78">
        <v>448.12656551910089</v>
      </c>
      <c r="O15" s="78">
        <v>450.25889637126687</v>
      </c>
      <c r="P15" s="78">
        <v>452.30789137907817</v>
      </c>
      <c r="Q15" s="78">
        <v>454.28224258932681</v>
      </c>
      <c r="R15" s="78">
        <v>456.18921761713676</v>
      </c>
      <c r="S15" s="78">
        <v>458.03496687788271</v>
      </c>
      <c r="T15" s="78">
        <v>459.82475050043155</v>
      </c>
      <c r="U15" s="78">
        <v>461.56310918946457</v>
      </c>
      <c r="V15" s="78">
        <v>463.25399508689014</v>
      </c>
      <c r="W15" s="78">
        <v>464.90087351757796</v>
      </c>
      <c r="X15" s="78">
        <v>466.50680316770575</v>
      </c>
      <c r="Y15" s="78">
        <v>468.07450003459275</v>
      </c>
      <c r="Z15" s="78">
        <v>469.60638899173688</v>
      </c>
      <c r="AA15" s="78">
        <v>471.10464578093701</v>
      </c>
      <c r="AB15" s="78">
        <v>472.57123151854847</v>
      </c>
      <c r="AC15" s="78">
        <v>474.00792128551967</v>
      </c>
      <c r="AD15" s="78">
        <v>475.41632799605071</v>
      </c>
      <c r="AE15" s="78">
        <v>476.79792246454059</v>
      </c>
      <c r="AF15" s="78">
        <v>478.15405038596231</v>
      </c>
      <c r="AG15" s="78">
        <v>490.54498958320465</v>
      </c>
      <c r="AH15" s="78">
        <v>501.31372066473551</v>
      </c>
      <c r="AI15" s="78">
        <v>510.91748979652931</v>
      </c>
      <c r="AJ15" s="78">
        <v>519.62935213344258</v>
      </c>
      <c r="AK15" s="78">
        <v>527.62816375044429</v>
      </c>
      <c r="AL15" s="78">
        <v>535.03882593850869</v>
      </c>
      <c r="AM15" s="78">
        <v>541.95277232508897</v>
      </c>
      <c r="AN15" s="78">
        <v>593.94317703460433</v>
      </c>
      <c r="AO15" s="78">
        <v>610.00678248081624</v>
      </c>
      <c r="AP15" s="78">
        <v>615.64499781589973</v>
      </c>
      <c r="AQ15" s="78">
        <v>628.6320335549857</v>
      </c>
      <c r="AR15" s="78">
        <v>654.05025742122518</v>
      </c>
      <c r="AS15" s="78">
        <v>673.49434560367877</v>
      </c>
      <c r="AT15" s="78">
        <v>688.73954885544401</v>
      </c>
      <c r="AU15" s="78">
        <v>700.88300047585653</v>
      </c>
      <c r="AV15" s="78">
        <v>710.66137678155235</v>
      </c>
      <c r="AW15" s="78">
        <v>718.59707075261247</v>
      </c>
    </row>
    <row r="16" spans="1:49" x14ac:dyDescent="0.4">
      <c r="A16" s="1">
        <v>425</v>
      </c>
      <c r="B16" s="1">
        <v>402</v>
      </c>
      <c r="C16" s="78">
        <v>410.62552430744444</v>
      </c>
      <c r="D16" s="78">
        <v>416.96378131369198</v>
      </c>
      <c r="E16" s="78">
        <v>421.82063238011682</v>
      </c>
      <c r="F16" s="78">
        <v>425.90957403054074</v>
      </c>
      <c r="G16" s="78">
        <v>429.5071107348993</v>
      </c>
      <c r="H16" s="78">
        <v>432.75511861565752</v>
      </c>
      <c r="I16" s="78">
        <v>435.73791833394944</v>
      </c>
      <c r="J16" s="78">
        <v>438.51047522616346</v>
      </c>
      <c r="K16" s="78">
        <v>441.11098621332741</v>
      </c>
      <c r="L16" s="78">
        <v>443.56727525537843</v>
      </c>
      <c r="M16" s="78">
        <v>445.90035703257564</v>
      </c>
      <c r="N16" s="78">
        <v>448.12656551910089</v>
      </c>
      <c r="O16" s="78">
        <v>450.25889637126687</v>
      </c>
      <c r="P16" s="78">
        <v>452.30789137907817</v>
      </c>
      <c r="Q16" s="78">
        <v>454.28224258932681</v>
      </c>
      <c r="R16" s="78">
        <v>456.18921761713676</v>
      </c>
      <c r="S16" s="78">
        <v>458.03496687788271</v>
      </c>
      <c r="T16" s="78">
        <v>459.82475050043155</v>
      </c>
      <c r="U16" s="78">
        <v>461.56310918946457</v>
      </c>
      <c r="V16" s="78">
        <v>463.25399508689014</v>
      </c>
      <c r="W16" s="78">
        <v>464.90087351757796</v>
      </c>
      <c r="X16" s="78">
        <v>466.50680316770575</v>
      </c>
      <c r="Y16" s="78">
        <v>468.07450003459275</v>
      </c>
      <c r="Z16" s="78">
        <v>469.60638899173688</v>
      </c>
      <c r="AA16" s="78">
        <v>471.10464578093701</v>
      </c>
      <c r="AB16" s="78">
        <v>472.57123151854847</v>
      </c>
      <c r="AC16" s="78">
        <v>474.00792128551967</v>
      </c>
      <c r="AD16" s="78">
        <v>475.41632799605071</v>
      </c>
      <c r="AE16" s="78">
        <v>476.79792246454059</v>
      </c>
      <c r="AF16" s="78">
        <v>478.15405038596231</v>
      </c>
      <c r="AG16" s="78">
        <v>490.54498958320465</v>
      </c>
      <c r="AH16" s="78">
        <v>501.31372066473551</v>
      </c>
      <c r="AI16" s="78">
        <v>510.91748979652931</v>
      </c>
      <c r="AJ16" s="78">
        <v>519.62935213344258</v>
      </c>
      <c r="AK16" s="78">
        <v>527.62816375044429</v>
      </c>
      <c r="AL16" s="78">
        <v>535.03882593850869</v>
      </c>
      <c r="AM16" s="78">
        <v>541.95277232508897</v>
      </c>
      <c r="AN16" s="78">
        <v>593.94317703460433</v>
      </c>
      <c r="AO16" s="78">
        <v>610.00678248081624</v>
      </c>
      <c r="AP16" s="78">
        <v>615.64499781589973</v>
      </c>
      <c r="AQ16" s="78">
        <v>628.6320335549857</v>
      </c>
      <c r="AR16" s="78">
        <v>654.05025742122518</v>
      </c>
      <c r="AS16" s="78">
        <v>673.49434560367877</v>
      </c>
      <c r="AT16" s="78">
        <v>688.73954885544401</v>
      </c>
      <c r="AU16" s="78">
        <v>700.88300047585653</v>
      </c>
      <c r="AV16" s="78">
        <v>710.66137678155235</v>
      </c>
      <c r="AW16" s="78">
        <v>718.59707075261247</v>
      </c>
    </row>
    <row r="17" spans="1:49" x14ac:dyDescent="0.4">
      <c r="A17" s="1">
        <v>450</v>
      </c>
      <c r="B17" s="1">
        <v>398</v>
      </c>
      <c r="C17" s="78">
        <v>410.62552430744444</v>
      </c>
      <c r="D17" s="78">
        <v>416.96378131369198</v>
      </c>
      <c r="E17" s="78">
        <v>421.82063238011682</v>
      </c>
      <c r="F17" s="78">
        <v>425.90957403054074</v>
      </c>
      <c r="G17" s="78">
        <v>429.5071107348993</v>
      </c>
      <c r="H17" s="78">
        <v>432.75511861565752</v>
      </c>
      <c r="I17" s="78">
        <v>435.73791833394944</v>
      </c>
      <c r="J17" s="78">
        <v>438.51047522616346</v>
      </c>
      <c r="K17" s="78">
        <v>441.11098621332741</v>
      </c>
      <c r="L17" s="78">
        <v>443.56727525537843</v>
      </c>
      <c r="M17" s="78">
        <v>445.90035703257564</v>
      </c>
      <c r="N17" s="78">
        <v>448.12656551910089</v>
      </c>
      <c r="O17" s="78">
        <v>450.25889637126687</v>
      </c>
      <c r="P17" s="78">
        <v>452.30789137907817</v>
      </c>
      <c r="Q17" s="78">
        <v>454.28224258932681</v>
      </c>
      <c r="R17" s="78">
        <v>456.18921761713676</v>
      </c>
      <c r="S17" s="78">
        <v>458.03496687788271</v>
      </c>
      <c r="T17" s="78">
        <v>459.82475050043155</v>
      </c>
      <c r="U17" s="78">
        <v>461.56310918946457</v>
      </c>
      <c r="V17" s="78">
        <v>463.25399508689014</v>
      </c>
      <c r="W17" s="78">
        <v>464.90087351757796</v>
      </c>
      <c r="X17" s="78">
        <v>466.50680316770575</v>
      </c>
      <c r="Y17" s="78">
        <v>468.07450003459275</v>
      </c>
      <c r="Z17" s="78">
        <v>469.60638899173688</v>
      </c>
      <c r="AA17" s="78">
        <v>471.10464578093701</v>
      </c>
      <c r="AB17" s="78">
        <v>472.57123151854847</v>
      </c>
      <c r="AC17" s="78">
        <v>474.00792128551967</v>
      </c>
      <c r="AD17" s="78">
        <v>475.41632799605071</v>
      </c>
      <c r="AE17" s="78">
        <v>476.79792246454059</v>
      </c>
      <c r="AF17" s="78">
        <v>478.15405038596231</v>
      </c>
      <c r="AG17" s="78">
        <v>490.54498958320465</v>
      </c>
      <c r="AH17" s="78">
        <v>501.31372066473551</v>
      </c>
      <c r="AI17" s="78">
        <v>510.91748979652931</v>
      </c>
      <c r="AJ17" s="78">
        <v>519.62935213344258</v>
      </c>
      <c r="AK17" s="78">
        <v>527.62816375044429</v>
      </c>
      <c r="AL17" s="78">
        <v>535.03882593850869</v>
      </c>
      <c r="AM17" s="78">
        <v>541.95277232508897</v>
      </c>
      <c r="AN17" s="78">
        <v>593.94317703460433</v>
      </c>
      <c r="AO17" s="78">
        <v>610.00678248081624</v>
      </c>
      <c r="AP17" s="78">
        <v>615.64499781589973</v>
      </c>
      <c r="AQ17" s="78">
        <v>628.6320335549857</v>
      </c>
      <c r="AR17" s="78">
        <v>654.05025742122518</v>
      </c>
      <c r="AS17" s="78">
        <v>673.49434560367877</v>
      </c>
      <c r="AT17" s="78">
        <v>688.73954885544401</v>
      </c>
      <c r="AU17" s="78">
        <v>700.88300047585653</v>
      </c>
      <c r="AV17" s="78">
        <v>710.66137678155235</v>
      </c>
      <c r="AW17" s="78">
        <v>718.59707075261247</v>
      </c>
    </row>
    <row r="18" spans="1:49" x14ac:dyDescent="0.4">
      <c r="A18" s="1">
        <v>475</v>
      </c>
      <c r="B18" s="1">
        <v>394</v>
      </c>
      <c r="C18" s="78">
        <v>410.62552430744444</v>
      </c>
      <c r="D18" s="78">
        <v>416.96378131369198</v>
      </c>
      <c r="E18" s="78">
        <v>421.82063238011682</v>
      </c>
      <c r="F18" s="78">
        <v>425.90957403054074</v>
      </c>
      <c r="G18" s="78">
        <v>429.5071107348993</v>
      </c>
      <c r="H18" s="78">
        <v>432.75511861565752</v>
      </c>
      <c r="I18" s="78">
        <v>435.73791833394944</v>
      </c>
      <c r="J18" s="78">
        <v>438.51047522616346</v>
      </c>
      <c r="K18" s="78">
        <v>441.11098621332741</v>
      </c>
      <c r="L18" s="78">
        <v>443.56727525537843</v>
      </c>
      <c r="M18" s="78">
        <v>445.90035703257564</v>
      </c>
      <c r="N18" s="78">
        <v>448.12656551910089</v>
      </c>
      <c r="O18" s="78">
        <v>450.25889637126687</v>
      </c>
      <c r="P18" s="78">
        <v>452.30789137907817</v>
      </c>
      <c r="Q18" s="78">
        <v>454.28224258932681</v>
      </c>
      <c r="R18" s="78">
        <v>456.18921761713676</v>
      </c>
      <c r="S18" s="78">
        <v>458.03496687788271</v>
      </c>
      <c r="T18" s="78">
        <v>459.82475050043155</v>
      </c>
      <c r="U18" s="78">
        <v>461.56310918946457</v>
      </c>
      <c r="V18" s="78">
        <v>463.25399508689014</v>
      </c>
      <c r="W18" s="78">
        <v>464.90087351757796</v>
      </c>
      <c r="X18" s="78">
        <v>466.50680316770575</v>
      </c>
      <c r="Y18" s="78">
        <v>468.07450003459275</v>
      </c>
      <c r="Z18" s="78">
        <v>469.60638899173688</v>
      </c>
      <c r="AA18" s="78">
        <v>471.10464578093701</v>
      </c>
      <c r="AB18" s="78">
        <v>472.57123151854847</v>
      </c>
      <c r="AC18" s="78">
        <v>474.00792128551967</v>
      </c>
      <c r="AD18" s="78">
        <v>475.41632799605071</v>
      </c>
      <c r="AE18" s="78">
        <v>476.79792246454059</v>
      </c>
      <c r="AF18" s="78">
        <v>478.15405038596231</v>
      </c>
      <c r="AG18" s="78">
        <v>490.54498958320465</v>
      </c>
      <c r="AH18" s="78">
        <v>501.31372066473551</v>
      </c>
      <c r="AI18" s="78">
        <v>510.91748979652931</v>
      </c>
      <c r="AJ18" s="78">
        <v>519.62935213344258</v>
      </c>
      <c r="AK18" s="78">
        <v>527.62816375044429</v>
      </c>
      <c r="AL18" s="78">
        <v>535.03882593850869</v>
      </c>
      <c r="AM18" s="78">
        <v>541.95277232508897</v>
      </c>
      <c r="AN18" s="78">
        <v>593.94317703460433</v>
      </c>
      <c r="AO18" s="78">
        <v>610.00678248081624</v>
      </c>
      <c r="AP18" s="78">
        <v>615.64499781589973</v>
      </c>
      <c r="AQ18" s="78">
        <v>628.6320335549857</v>
      </c>
      <c r="AR18" s="78">
        <v>654.05025742122518</v>
      </c>
      <c r="AS18" s="78">
        <v>673.49434560367877</v>
      </c>
      <c r="AT18" s="78">
        <v>688.73954885544401</v>
      </c>
      <c r="AU18" s="78">
        <v>700.88300047585653</v>
      </c>
      <c r="AV18" s="78">
        <v>710.66137678155235</v>
      </c>
      <c r="AW18" s="78">
        <v>718.59707075261247</v>
      </c>
    </row>
  </sheetData>
  <mergeCells count="2">
    <mergeCell ref="A1:O1"/>
    <mergeCell ref="B2:AW2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1"/>
  <sheetViews>
    <sheetView zoomScale="115" zoomScaleNormal="115" workbookViewId="0">
      <selection activeCell="B5" sqref="B5:D9"/>
    </sheetView>
  </sheetViews>
  <sheetFormatPr defaultRowHeight="14.6" x14ac:dyDescent="0.4"/>
  <cols>
    <col min="1" max="1" width="11.53515625" customWidth="1"/>
  </cols>
  <sheetData>
    <row r="1" spans="1:12" x14ac:dyDescent="0.4">
      <c r="A1" t="s">
        <v>22</v>
      </c>
    </row>
    <row r="2" spans="1:12" x14ac:dyDescent="0.4">
      <c r="A2" s="55"/>
      <c r="B2" s="81" t="s">
        <v>16</v>
      </c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2" ht="15" thickBot="1" x14ac:dyDescent="0.45">
      <c r="A3" s="65" t="s">
        <v>13</v>
      </c>
      <c r="B3" s="66">
        <v>0</v>
      </c>
      <c r="C3" s="67">
        <v>0.5</v>
      </c>
      <c r="D3" s="67">
        <v>1</v>
      </c>
      <c r="E3" s="67">
        <v>1.5</v>
      </c>
      <c r="F3" s="67">
        <v>2</v>
      </c>
      <c r="G3" s="67">
        <v>2.5</v>
      </c>
      <c r="H3" s="67">
        <v>3</v>
      </c>
      <c r="I3" s="67">
        <v>3.5</v>
      </c>
      <c r="J3" s="67">
        <v>4</v>
      </c>
      <c r="K3" s="67">
        <v>4.5</v>
      </c>
      <c r="L3" s="68">
        <v>5</v>
      </c>
    </row>
    <row r="4" spans="1:12" ht="15" thickBot="1" x14ac:dyDescent="0.45">
      <c r="A4" s="69">
        <v>20</v>
      </c>
      <c r="B4" s="56" t="s">
        <v>19</v>
      </c>
      <c r="C4" s="57" t="s">
        <v>19</v>
      </c>
      <c r="D4" s="57" t="s">
        <v>19</v>
      </c>
      <c r="E4" s="57" t="s">
        <v>19</v>
      </c>
      <c r="F4" s="57" t="s">
        <v>19</v>
      </c>
      <c r="G4" s="57" t="s">
        <v>19</v>
      </c>
      <c r="H4" s="57" t="s">
        <v>19</v>
      </c>
      <c r="I4" s="57" t="s">
        <v>19</v>
      </c>
      <c r="J4" s="57" t="s">
        <v>19</v>
      </c>
      <c r="K4" s="57" t="s">
        <v>19</v>
      </c>
      <c r="L4" s="58" t="s">
        <v>19</v>
      </c>
    </row>
    <row r="5" spans="1:12" ht="15" thickBot="1" x14ac:dyDescent="0.45">
      <c r="A5" s="70">
        <v>50</v>
      </c>
      <c r="B5" s="59" t="s">
        <v>19</v>
      </c>
      <c r="C5" s="60" t="s">
        <v>19</v>
      </c>
      <c r="D5" s="60" t="s">
        <v>19</v>
      </c>
      <c r="E5" s="60" t="s">
        <v>19</v>
      </c>
      <c r="F5" s="60" t="s">
        <v>19</v>
      </c>
      <c r="G5" s="60" t="s">
        <v>19</v>
      </c>
      <c r="H5" s="60" t="s">
        <v>19</v>
      </c>
      <c r="I5" s="60" t="s">
        <v>19</v>
      </c>
      <c r="J5" s="60" t="s">
        <v>19</v>
      </c>
      <c r="K5" s="60" t="s">
        <v>19</v>
      </c>
      <c r="L5" s="72" t="s">
        <v>19</v>
      </c>
    </row>
    <row r="6" spans="1:12" ht="15" thickBot="1" x14ac:dyDescent="0.45">
      <c r="A6" s="70">
        <v>100</v>
      </c>
      <c r="B6" s="59" t="s">
        <v>19</v>
      </c>
      <c r="C6" s="60" t="s">
        <v>19</v>
      </c>
      <c r="D6" s="60" t="s">
        <v>19</v>
      </c>
      <c r="E6" s="60" t="s">
        <v>19</v>
      </c>
      <c r="F6" s="60" t="s">
        <v>19</v>
      </c>
      <c r="G6" s="60" t="s">
        <v>19</v>
      </c>
      <c r="H6" s="60" t="s">
        <v>19</v>
      </c>
      <c r="I6" s="60" t="s">
        <v>19</v>
      </c>
      <c r="J6" s="60" t="s">
        <v>19</v>
      </c>
      <c r="K6" s="60" t="s">
        <v>19</v>
      </c>
      <c r="L6" s="72" t="s">
        <v>19</v>
      </c>
    </row>
    <row r="7" spans="1:12" ht="15" thickBot="1" x14ac:dyDescent="0.45">
      <c r="A7" s="70">
        <v>150</v>
      </c>
      <c r="B7" s="59" t="s">
        <v>19</v>
      </c>
      <c r="C7" s="60" t="s">
        <v>19</v>
      </c>
      <c r="D7" s="60" t="s">
        <v>19</v>
      </c>
      <c r="E7" s="60" t="s">
        <v>19</v>
      </c>
      <c r="F7" s="60" t="s">
        <v>19</v>
      </c>
      <c r="G7" s="60" t="s">
        <v>19</v>
      </c>
      <c r="H7" s="60" t="s">
        <v>19</v>
      </c>
      <c r="I7" s="60" t="s">
        <v>19</v>
      </c>
      <c r="J7" s="60" t="s">
        <v>19</v>
      </c>
      <c r="K7" s="73">
        <v>411.01</v>
      </c>
      <c r="L7" s="74">
        <v>411.02</v>
      </c>
    </row>
    <row r="8" spans="1:12" ht="15" thickBot="1" x14ac:dyDescent="0.45">
      <c r="A8" s="70">
        <v>200</v>
      </c>
      <c r="B8" s="59" t="s">
        <v>19</v>
      </c>
      <c r="C8" s="60" t="s">
        <v>19</v>
      </c>
      <c r="D8" s="60" t="s">
        <v>19</v>
      </c>
      <c r="E8" s="60" t="s">
        <v>19</v>
      </c>
      <c r="F8" s="60" t="s">
        <v>19</v>
      </c>
      <c r="G8" s="60" t="s">
        <v>19</v>
      </c>
      <c r="H8" s="60" t="s">
        <v>19</v>
      </c>
      <c r="I8" s="61">
        <v>419</v>
      </c>
      <c r="J8" s="61">
        <v>423</v>
      </c>
      <c r="K8" s="61">
        <v>427</v>
      </c>
      <c r="L8" s="62">
        <v>429</v>
      </c>
    </row>
    <row r="9" spans="1:12" ht="15" thickBot="1" x14ac:dyDescent="0.45">
      <c r="A9" s="70">
        <v>250</v>
      </c>
      <c r="B9" s="59" t="s">
        <v>19</v>
      </c>
      <c r="C9" s="60" t="s">
        <v>19</v>
      </c>
      <c r="D9" s="60" t="s">
        <v>19</v>
      </c>
      <c r="E9" s="60" t="s">
        <v>19</v>
      </c>
      <c r="F9" s="60" t="s">
        <v>19</v>
      </c>
      <c r="G9" s="60" t="s">
        <v>19</v>
      </c>
      <c r="H9" s="73">
        <v>419.01</v>
      </c>
      <c r="I9" s="73">
        <v>427.01</v>
      </c>
      <c r="J9" s="73">
        <v>435.01</v>
      </c>
      <c r="K9" s="73">
        <v>442.01</v>
      </c>
      <c r="L9" s="74">
        <v>449.01</v>
      </c>
    </row>
    <row r="10" spans="1:12" ht="15" thickBot="1" x14ac:dyDescent="0.45">
      <c r="A10" s="70">
        <v>300</v>
      </c>
      <c r="B10" s="59" t="s">
        <v>19</v>
      </c>
      <c r="C10" s="60" t="s">
        <v>19</v>
      </c>
      <c r="D10" s="60" t="s">
        <v>19</v>
      </c>
      <c r="E10" s="60" t="s">
        <v>19</v>
      </c>
      <c r="F10" s="60" t="s">
        <v>19</v>
      </c>
      <c r="G10" s="60" t="s">
        <v>19</v>
      </c>
      <c r="H10" s="73">
        <v>419.02</v>
      </c>
      <c r="I10" s="73">
        <v>427.02</v>
      </c>
      <c r="J10" s="73">
        <v>435.02</v>
      </c>
      <c r="K10" s="73">
        <v>442.02</v>
      </c>
      <c r="L10" s="74">
        <v>449.02</v>
      </c>
    </row>
    <row r="11" spans="1:12" ht="15" thickBot="1" x14ac:dyDescent="0.45">
      <c r="A11" s="71">
        <v>350</v>
      </c>
      <c r="B11" s="63" t="s">
        <v>19</v>
      </c>
      <c r="C11" s="75" t="s">
        <v>19</v>
      </c>
      <c r="D11" s="75" t="s">
        <v>19</v>
      </c>
      <c r="E11" s="75" t="s">
        <v>19</v>
      </c>
      <c r="F11" s="75" t="s">
        <v>19</v>
      </c>
      <c r="G11" s="75" t="s">
        <v>19</v>
      </c>
      <c r="H11" s="54">
        <v>419.03</v>
      </c>
      <c r="I11" s="54">
        <v>427.03</v>
      </c>
      <c r="J11" s="54">
        <v>435.03</v>
      </c>
      <c r="K11" s="54">
        <v>442.03</v>
      </c>
      <c r="L11" s="76">
        <v>449.03</v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1"/>
  <sheetViews>
    <sheetView workbookViewId="0">
      <selection activeCell="P13" sqref="P13"/>
    </sheetView>
  </sheetViews>
  <sheetFormatPr defaultRowHeight="14.6" x14ac:dyDescent="0.4"/>
  <sheetData>
    <row r="1" spans="1:12" x14ac:dyDescent="0.4">
      <c r="A1" t="s">
        <v>20</v>
      </c>
    </row>
    <row r="2" spans="1:12" x14ac:dyDescent="0.4">
      <c r="A2" s="55"/>
      <c r="B2" s="81" t="s">
        <v>15</v>
      </c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2" ht="15" thickBot="1" x14ac:dyDescent="0.45">
      <c r="A3" s="65" t="s">
        <v>13</v>
      </c>
      <c r="B3" s="66">
        <v>0</v>
      </c>
      <c r="C3" s="67">
        <v>0.5</v>
      </c>
      <c r="D3" s="67">
        <v>1</v>
      </c>
      <c r="E3" s="67">
        <v>1.5</v>
      </c>
      <c r="F3" s="67">
        <v>2</v>
      </c>
      <c r="G3" s="67">
        <v>2.5</v>
      </c>
      <c r="H3" s="67">
        <v>3</v>
      </c>
      <c r="I3" s="67">
        <v>3.5</v>
      </c>
      <c r="J3" s="67">
        <v>4</v>
      </c>
      <c r="K3" s="67">
        <v>4.5</v>
      </c>
      <c r="L3" s="68">
        <v>5</v>
      </c>
    </row>
    <row r="4" spans="1:12" ht="15" thickBot="1" x14ac:dyDescent="0.45">
      <c r="A4" s="69">
        <v>20</v>
      </c>
      <c r="B4" s="56" t="s">
        <v>19</v>
      </c>
      <c r="C4" s="57" t="s">
        <v>19</v>
      </c>
      <c r="D4" s="57" t="s">
        <v>19</v>
      </c>
      <c r="E4" s="57" t="s">
        <v>19</v>
      </c>
      <c r="F4" s="57" t="s">
        <v>19</v>
      </c>
      <c r="G4" s="57" t="s">
        <v>19</v>
      </c>
      <c r="H4" s="57" t="s">
        <v>19</v>
      </c>
      <c r="I4" s="57" t="s">
        <v>19</v>
      </c>
      <c r="J4" s="57" t="s">
        <v>19</v>
      </c>
      <c r="K4" s="57" t="s">
        <v>19</v>
      </c>
      <c r="L4" s="58" t="s">
        <v>19</v>
      </c>
    </row>
    <row r="5" spans="1:12" ht="15" thickBot="1" x14ac:dyDescent="0.45">
      <c r="A5" s="70">
        <v>50</v>
      </c>
      <c r="B5" s="59" t="s">
        <v>19</v>
      </c>
      <c r="C5" s="60" t="s">
        <v>19</v>
      </c>
      <c r="D5" s="60" t="s">
        <v>19</v>
      </c>
      <c r="E5" s="60" t="s">
        <v>19</v>
      </c>
      <c r="F5" s="60" t="s">
        <v>19</v>
      </c>
      <c r="G5" s="60" t="s">
        <v>19</v>
      </c>
      <c r="H5" s="60" t="s">
        <v>19</v>
      </c>
      <c r="I5" s="60" t="s">
        <v>19</v>
      </c>
      <c r="J5" s="60" t="s">
        <v>19</v>
      </c>
      <c r="K5" s="61">
        <v>936</v>
      </c>
      <c r="L5" s="62">
        <v>846</v>
      </c>
    </row>
    <row r="6" spans="1:12" ht="15" thickBot="1" x14ac:dyDescent="0.45">
      <c r="A6" s="70">
        <v>100</v>
      </c>
      <c r="B6" s="59" t="s">
        <v>19</v>
      </c>
      <c r="C6" s="60" t="s">
        <v>19</v>
      </c>
      <c r="D6" s="60" t="s">
        <v>19</v>
      </c>
      <c r="E6" s="60" t="s">
        <v>19</v>
      </c>
      <c r="F6" s="60" t="s">
        <v>19</v>
      </c>
      <c r="G6" s="60" t="s">
        <v>19</v>
      </c>
      <c r="H6" s="61">
        <v>865</v>
      </c>
      <c r="I6" s="61">
        <v>736</v>
      </c>
      <c r="J6" s="61">
        <v>615</v>
      </c>
      <c r="K6" s="61">
        <v>503</v>
      </c>
      <c r="L6" s="62">
        <v>398</v>
      </c>
    </row>
    <row r="7" spans="1:12" ht="15" thickBot="1" x14ac:dyDescent="0.45">
      <c r="A7" s="70">
        <v>150</v>
      </c>
      <c r="B7" s="59" t="s">
        <v>19</v>
      </c>
      <c r="C7" s="60" t="s">
        <v>19</v>
      </c>
      <c r="D7" s="60" t="s">
        <v>19</v>
      </c>
      <c r="E7" s="61">
        <v>1000</v>
      </c>
      <c r="F7" s="61">
        <v>835</v>
      </c>
      <c r="G7" s="61">
        <v>678</v>
      </c>
      <c r="H7" s="61">
        <v>536</v>
      </c>
      <c r="I7" s="61">
        <v>402</v>
      </c>
      <c r="J7" s="61">
        <v>276</v>
      </c>
      <c r="K7" s="61">
        <v>205</v>
      </c>
      <c r="L7" s="62">
        <v>205</v>
      </c>
    </row>
    <row r="8" spans="1:12" ht="15" thickBot="1" x14ac:dyDescent="0.45">
      <c r="A8" s="70">
        <v>200</v>
      </c>
      <c r="B8" s="59" t="s">
        <v>19</v>
      </c>
      <c r="C8" s="60" t="s">
        <v>19</v>
      </c>
      <c r="D8" s="61">
        <v>932</v>
      </c>
      <c r="E8" s="61">
        <v>760</v>
      </c>
      <c r="F8" s="61">
        <v>594</v>
      </c>
      <c r="G8" s="61">
        <v>444</v>
      </c>
      <c r="H8" s="61">
        <v>292</v>
      </c>
      <c r="I8" s="61">
        <v>210</v>
      </c>
      <c r="J8" s="61">
        <v>212</v>
      </c>
      <c r="K8" s="61">
        <v>213</v>
      </c>
      <c r="L8" s="62">
        <v>215</v>
      </c>
    </row>
    <row r="9" spans="1:12" ht="15" thickBot="1" x14ac:dyDescent="0.45">
      <c r="A9" s="70">
        <v>250</v>
      </c>
      <c r="B9" s="59" t="s">
        <v>19</v>
      </c>
      <c r="C9" s="61">
        <v>940</v>
      </c>
      <c r="D9" s="61">
        <v>765</v>
      </c>
      <c r="E9" s="61">
        <v>595</v>
      </c>
      <c r="F9" s="61">
        <v>438</v>
      </c>
      <c r="G9" s="61">
        <v>287</v>
      </c>
      <c r="H9" s="61">
        <v>209</v>
      </c>
      <c r="I9" s="61">
        <v>214</v>
      </c>
      <c r="J9" s="61">
        <v>218</v>
      </c>
      <c r="K9" s="61">
        <v>221</v>
      </c>
      <c r="L9" s="62">
        <v>224</v>
      </c>
    </row>
    <row r="10" spans="1:12" ht="15" thickBot="1" x14ac:dyDescent="0.45">
      <c r="A10" s="70">
        <v>300</v>
      </c>
      <c r="B10" s="59" t="s">
        <v>19</v>
      </c>
      <c r="C10" s="61">
        <v>871</v>
      </c>
      <c r="D10" s="61">
        <v>694</v>
      </c>
      <c r="E10" s="61">
        <v>527</v>
      </c>
      <c r="F10" s="61">
        <v>366</v>
      </c>
      <c r="G10" s="61">
        <v>211</v>
      </c>
      <c r="H10" s="61">
        <v>209</v>
      </c>
      <c r="I10" s="61">
        <v>214</v>
      </c>
      <c r="J10" s="61">
        <v>218</v>
      </c>
      <c r="K10" s="61">
        <v>221</v>
      </c>
      <c r="L10" s="62">
        <v>224</v>
      </c>
    </row>
    <row r="11" spans="1:12" ht="15" thickBot="1" x14ac:dyDescent="0.45">
      <c r="A11" s="71">
        <v>350</v>
      </c>
      <c r="B11" s="63" t="s">
        <v>19</v>
      </c>
      <c r="C11" s="39">
        <v>877</v>
      </c>
      <c r="D11" s="39">
        <v>696</v>
      </c>
      <c r="E11" s="39">
        <v>527</v>
      </c>
      <c r="F11" s="39">
        <v>363</v>
      </c>
      <c r="G11" s="39">
        <v>211</v>
      </c>
      <c r="H11" s="39">
        <v>209</v>
      </c>
      <c r="I11" s="39">
        <v>214</v>
      </c>
      <c r="J11" s="39">
        <v>218</v>
      </c>
      <c r="K11" s="39">
        <v>221</v>
      </c>
      <c r="L11" s="64">
        <v>224</v>
      </c>
    </row>
  </sheetData>
  <mergeCells count="1">
    <mergeCell ref="B2:L2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4"/>
  <sheetViews>
    <sheetView workbookViewId="0">
      <selection activeCell="D16" sqref="D16"/>
    </sheetView>
  </sheetViews>
  <sheetFormatPr defaultColWidth="8.84375" defaultRowHeight="14.6" x14ac:dyDescent="0.4"/>
  <cols>
    <col min="1" max="16384" width="8.84375" style="2"/>
  </cols>
  <sheetData>
    <row r="1" spans="1:15" ht="15" thickBot="1" x14ac:dyDescent="0.45">
      <c r="A1" s="13" t="s">
        <v>9</v>
      </c>
      <c r="B1" s="90" t="s">
        <v>7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</row>
    <row r="2" spans="1:15" ht="15" thickBot="1" x14ac:dyDescent="0.45">
      <c r="A2" s="14" t="s">
        <v>0</v>
      </c>
      <c r="B2" s="15">
        <v>100000000</v>
      </c>
      <c r="C2" s="16">
        <v>200000000</v>
      </c>
      <c r="D2" s="17">
        <v>300000000</v>
      </c>
      <c r="E2" s="16">
        <v>400000000</v>
      </c>
      <c r="F2" s="16">
        <v>500000000</v>
      </c>
      <c r="G2" s="17">
        <v>600000000</v>
      </c>
      <c r="H2" s="16">
        <v>700000000</v>
      </c>
      <c r="I2" s="16">
        <v>800000000</v>
      </c>
      <c r="J2" s="17">
        <v>900000000</v>
      </c>
      <c r="K2" s="16">
        <v>1000000000</v>
      </c>
      <c r="L2" s="16">
        <v>1100000000</v>
      </c>
      <c r="M2" s="17">
        <v>1200000000</v>
      </c>
      <c r="N2" s="16">
        <v>1300000000</v>
      </c>
      <c r="O2" s="16">
        <v>1400000000</v>
      </c>
    </row>
    <row r="3" spans="1:15" x14ac:dyDescent="0.4">
      <c r="A3" s="18">
        <v>20</v>
      </c>
      <c r="B3" s="19">
        <v>1.02</v>
      </c>
      <c r="C3" s="20">
        <v>1.08</v>
      </c>
      <c r="D3" s="20">
        <v>1.1499999999999999</v>
      </c>
      <c r="E3" s="20">
        <v>1.23</v>
      </c>
      <c r="F3" s="20">
        <v>1.3</v>
      </c>
      <c r="G3" s="20">
        <v>1.37</v>
      </c>
      <c r="H3" s="20">
        <v>1.45</v>
      </c>
      <c r="I3" s="20">
        <v>1.51</v>
      </c>
      <c r="J3" s="20">
        <v>1.58</v>
      </c>
      <c r="K3" s="20">
        <v>1.64</v>
      </c>
      <c r="L3" s="20">
        <v>1.7</v>
      </c>
      <c r="M3" s="20">
        <v>1.76</v>
      </c>
      <c r="N3" s="20">
        <v>1.82</v>
      </c>
      <c r="O3" s="20">
        <v>1.88</v>
      </c>
    </row>
    <row r="4" spans="1:15" ht="15" thickBot="1" x14ac:dyDescent="0.45">
      <c r="A4" s="21">
        <v>450</v>
      </c>
      <c r="B4" s="22">
        <v>1.01</v>
      </c>
      <c r="C4" s="23">
        <v>1.06</v>
      </c>
      <c r="D4" s="24">
        <v>1.1200000000000001</v>
      </c>
      <c r="E4" s="24">
        <v>1.2</v>
      </c>
      <c r="F4" s="24">
        <v>1.28</v>
      </c>
      <c r="G4" s="24">
        <v>1.36</v>
      </c>
      <c r="H4" s="24">
        <v>1.43</v>
      </c>
      <c r="I4" s="24">
        <v>1.51</v>
      </c>
      <c r="J4" s="24">
        <v>1.58</v>
      </c>
      <c r="K4" s="24">
        <v>1.65</v>
      </c>
      <c r="L4" s="24">
        <v>1.72</v>
      </c>
      <c r="M4" s="24">
        <v>1.79</v>
      </c>
      <c r="N4" s="24">
        <v>1.85</v>
      </c>
      <c r="O4" s="24">
        <v>1.92</v>
      </c>
    </row>
  </sheetData>
  <mergeCells count="1">
    <mergeCell ref="B1:O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"/>
  <sheetViews>
    <sheetView workbookViewId="0">
      <selection activeCell="P14" sqref="P14"/>
    </sheetView>
  </sheetViews>
  <sheetFormatPr defaultColWidth="8.84375" defaultRowHeight="14.6" x14ac:dyDescent="0.4"/>
  <cols>
    <col min="1" max="16384" width="8.84375" style="2"/>
  </cols>
  <sheetData>
    <row r="1" spans="1:15" ht="15" thickBot="1" x14ac:dyDescent="0.45">
      <c r="A1" s="13" t="s">
        <v>8</v>
      </c>
      <c r="B1" s="92" t="s">
        <v>7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ht="15" thickBot="1" x14ac:dyDescent="0.45">
      <c r="A2" s="14" t="s">
        <v>0</v>
      </c>
      <c r="B2" s="15">
        <v>100000000</v>
      </c>
      <c r="C2" s="16">
        <v>200000000</v>
      </c>
      <c r="D2" s="17">
        <v>300000000</v>
      </c>
      <c r="E2" s="16">
        <v>400000000</v>
      </c>
      <c r="F2" s="16">
        <v>500000000</v>
      </c>
      <c r="G2" s="17">
        <v>600000000</v>
      </c>
      <c r="H2" s="16">
        <v>700000000</v>
      </c>
      <c r="I2" s="16">
        <v>800000000</v>
      </c>
      <c r="J2" s="17">
        <v>900000000</v>
      </c>
      <c r="K2" s="16">
        <v>1000000000</v>
      </c>
      <c r="L2" s="16">
        <v>1100000000</v>
      </c>
      <c r="M2" s="17">
        <v>1200000000</v>
      </c>
      <c r="N2" s="16">
        <v>1300000000</v>
      </c>
      <c r="O2" s="16">
        <v>1400000000</v>
      </c>
    </row>
    <row r="3" spans="1:15" x14ac:dyDescent="0.4">
      <c r="A3" s="18">
        <v>20</v>
      </c>
      <c r="B3" s="25">
        <v>1.02</v>
      </c>
      <c r="C3" s="25">
        <v>1.06</v>
      </c>
      <c r="D3" s="25">
        <v>1.1000000000000001</v>
      </c>
      <c r="E3" s="25">
        <v>1.1399999999999999</v>
      </c>
      <c r="F3" s="25">
        <v>1.17</v>
      </c>
      <c r="G3" s="25">
        <v>1.2</v>
      </c>
      <c r="H3" s="25">
        <v>1.22</v>
      </c>
      <c r="I3" s="25">
        <v>1.25</v>
      </c>
      <c r="J3" s="25">
        <v>1.26</v>
      </c>
      <c r="K3" s="25">
        <v>1.28</v>
      </c>
      <c r="L3" s="25">
        <v>1.3</v>
      </c>
      <c r="M3" s="25">
        <v>1.31</v>
      </c>
      <c r="N3" s="25">
        <v>1.32</v>
      </c>
      <c r="O3" s="25">
        <v>1.33</v>
      </c>
    </row>
    <row r="4" spans="1:15" ht="15" thickBot="1" x14ac:dyDescent="0.45">
      <c r="A4" s="26">
        <v>450</v>
      </c>
      <c r="B4" s="27">
        <v>1.01</v>
      </c>
      <c r="C4" s="27">
        <v>1.04</v>
      </c>
      <c r="D4" s="27">
        <v>1.08</v>
      </c>
      <c r="E4" s="27">
        <v>1.1200000000000001</v>
      </c>
      <c r="F4" s="27">
        <v>1.1599999999999999</v>
      </c>
      <c r="G4" s="27">
        <v>1.19</v>
      </c>
      <c r="H4" s="27">
        <v>1.22</v>
      </c>
      <c r="I4" s="27">
        <v>1.24</v>
      </c>
      <c r="J4" s="27">
        <v>1.26</v>
      </c>
      <c r="K4" s="27">
        <v>1.28</v>
      </c>
      <c r="L4" s="27">
        <v>1.3</v>
      </c>
      <c r="M4" s="27">
        <v>1.31</v>
      </c>
      <c r="N4" s="27">
        <v>1.32</v>
      </c>
      <c r="O4" s="27">
        <v>1.34</v>
      </c>
    </row>
  </sheetData>
  <mergeCells count="1">
    <mergeCell ref="B1:O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"/>
  <sheetViews>
    <sheetView workbookViewId="0">
      <selection activeCell="E17" sqref="E17"/>
    </sheetView>
  </sheetViews>
  <sheetFormatPr defaultColWidth="8.84375" defaultRowHeight="14.6" x14ac:dyDescent="0.4"/>
  <cols>
    <col min="1" max="2" width="12.3046875" style="2" customWidth="1"/>
    <col min="3" max="16384" width="8.84375" style="2"/>
  </cols>
  <sheetData>
    <row r="1" spans="1:3" ht="15" thickBot="1" x14ac:dyDescent="0.45">
      <c r="A1" s="30" t="s">
        <v>0</v>
      </c>
      <c r="B1" s="31" t="s">
        <v>10</v>
      </c>
      <c r="C1" s="31" t="s">
        <v>11</v>
      </c>
    </row>
    <row r="2" spans="1:3" x14ac:dyDescent="0.3">
      <c r="A2" s="32">
        <v>20</v>
      </c>
      <c r="B2" s="33">
        <v>798300000</v>
      </c>
      <c r="C2" s="28">
        <v>0.3387</v>
      </c>
    </row>
    <row r="3" spans="1:3" x14ac:dyDescent="0.3">
      <c r="A3" s="34">
        <v>450</v>
      </c>
      <c r="B3" s="33">
        <v>722000000</v>
      </c>
      <c r="C3" s="28">
        <v>0.30249999999999999</v>
      </c>
    </row>
    <row r="4" spans="1:3" x14ac:dyDescent="0.3">
      <c r="A4" s="35">
        <v>600</v>
      </c>
      <c r="B4" s="33">
        <v>722000000</v>
      </c>
      <c r="C4" s="28">
        <v>0.30249999999999999</v>
      </c>
    </row>
    <row r="5" spans="1:3" ht="15" thickBot="1" x14ac:dyDescent="0.35">
      <c r="A5" s="36">
        <v>650</v>
      </c>
      <c r="B5" s="37">
        <v>679000000</v>
      </c>
      <c r="C5" s="29">
        <v>0.23649999999999999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workbookViewId="0">
      <selection activeCell="J20" sqref="J20"/>
    </sheetView>
  </sheetViews>
  <sheetFormatPr defaultRowHeight="14.6" x14ac:dyDescent="0.4"/>
  <cols>
    <col min="1" max="1" width="13.53515625" customWidth="1"/>
  </cols>
  <sheetData>
    <row r="1" spans="1:1" x14ac:dyDescent="0.4">
      <c r="A1" t="s">
        <v>12</v>
      </c>
    </row>
    <row r="2" spans="1:1" x14ac:dyDescent="0.4">
      <c r="A2">
        <v>0.3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7"/>
  <sheetViews>
    <sheetView tabSelected="1" zoomScale="130" zoomScaleNormal="130" workbookViewId="0">
      <selection activeCell="J2" sqref="J2"/>
    </sheetView>
  </sheetViews>
  <sheetFormatPr defaultRowHeight="14.6" x14ac:dyDescent="0.4"/>
  <cols>
    <col min="2" max="2" width="11.69140625" customWidth="1"/>
    <col min="3" max="3" width="11.15234375" customWidth="1"/>
    <col min="4" max="4" width="10.84375" customWidth="1"/>
    <col min="6" max="6" width="10" customWidth="1"/>
  </cols>
  <sheetData>
    <row r="1" spans="1:10" x14ac:dyDescent="0.4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33</v>
      </c>
      <c r="J1" t="s">
        <v>32</v>
      </c>
    </row>
    <row r="2" spans="1:10" x14ac:dyDescent="0.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4">
      <c r="A3">
        <v>0.01</v>
      </c>
      <c r="B3">
        <v>20</v>
      </c>
      <c r="C3">
        <v>1.0362E-2</v>
      </c>
      <c r="D3">
        <v>20</v>
      </c>
      <c r="E3">
        <v>1.081E-2</v>
      </c>
      <c r="F3">
        <v>20</v>
      </c>
      <c r="G3">
        <v>1.1363E-2</v>
      </c>
      <c r="H3">
        <v>20</v>
      </c>
      <c r="I3">
        <v>1.1900000000000001E-2</v>
      </c>
      <c r="J3">
        <v>20.002379999999999</v>
      </c>
    </row>
    <row r="4" spans="1:10" x14ac:dyDescent="0.4">
      <c r="A4">
        <v>1.9997999999999998E-2</v>
      </c>
      <c r="B4">
        <v>40</v>
      </c>
      <c r="C4">
        <v>2.0723999999999999E-2</v>
      </c>
      <c r="D4">
        <v>40</v>
      </c>
      <c r="E4">
        <v>2.1621999999999999E-2</v>
      </c>
      <c r="F4">
        <v>40</v>
      </c>
      <c r="G4">
        <v>2.2731000000000001E-2</v>
      </c>
      <c r="H4">
        <v>40.01</v>
      </c>
      <c r="I4">
        <v>2.3820000000000001E-2</v>
      </c>
      <c r="J4">
        <v>40.009529999999998</v>
      </c>
    </row>
    <row r="5" spans="1:10" x14ac:dyDescent="0.4">
      <c r="A5">
        <v>2.9996999999999999E-2</v>
      </c>
      <c r="B5">
        <v>60</v>
      </c>
      <c r="C5">
        <v>3.1101E-2</v>
      </c>
      <c r="D5">
        <v>60</v>
      </c>
      <c r="E5">
        <v>3.2510999999999998E-2</v>
      </c>
      <c r="F5">
        <v>60</v>
      </c>
      <c r="G5">
        <v>3.4324E-2</v>
      </c>
      <c r="H5">
        <v>60.02</v>
      </c>
      <c r="I5">
        <v>3.628E-2</v>
      </c>
      <c r="J5">
        <v>60.021769999999997</v>
      </c>
    </row>
    <row r="6" spans="1:10" x14ac:dyDescent="0.4">
      <c r="A6">
        <v>4.0016999999999997E-2</v>
      </c>
      <c r="B6">
        <v>80</v>
      </c>
      <c r="C6">
        <v>4.1665000000000001E-2</v>
      </c>
      <c r="D6">
        <v>80</v>
      </c>
      <c r="E6">
        <v>4.4313999999999999E-2</v>
      </c>
      <c r="F6">
        <v>80</v>
      </c>
      <c r="G6">
        <v>4.8520000000000001E-2</v>
      </c>
      <c r="H6">
        <v>80.040000000000006</v>
      </c>
      <c r="I6">
        <v>5.4989999999999997E-2</v>
      </c>
      <c r="J6">
        <v>80.043999999999997</v>
      </c>
    </row>
    <row r="7" spans="1:10" x14ac:dyDescent="0.4">
      <c r="A7">
        <v>5.0168999999999998E-2</v>
      </c>
      <c r="B7">
        <v>100.1</v>
      </c>
      <c r="C7">
        <v>5.3416999999999999E-2</v>
      </c>
      <c r="D7">
        <v>100.1</v>
      </c>
      <c r="E7">
        <v>6.1885999999999997E-2</v>
      </c>
      <c r="F7">
        <v>100.1</v>
      </c>
      <c r="G7">
        <v>7.9155000000000003E-2</v>
      </c>
      <c r="H7">
        <v>100.08</v>
      </c>
      <c r="I7">
        <v>0.11312</v>
      </c>
      <c r="J7">
        <v>100.11318</v>
      </c>
    </row>
    <row r="8" spans="1:10" x14ac:dyDescent="0.4">
      <c r="A8">
        <v>6.0899000000000002E-2</v>
      </c>
      <c r="B8">
        <v>120.1</v>
      </c>
      <c r="C8">
        <v>7.0333000000000007E-2</v>
      </c>
      <c r="D8">
        <v>120.1</v>
      </c>
      <c r="E8">
        <v>0.104509</v>
      </c>
      <c r="F8">
        <v>120.1</v>
      </c>
      <c r="G8">
        <v>0.181118</v>
      </c>
      <c r="H8">
        <v>120.22</v>
      </c>
      <c r="I8">
        <v>0.34216000000000002</v>
      </c>
      <c r="J8">
        <v>120.4113</v>
      </c>
    </row>
    <row r="9" spans="1:10" x14ac:dyDescent="0.4">
      <c r="A9">
        <v>7.3584999999999998E-2</v>
      </c>
      <c r="B9">
        <v>140.1</v>
      </c>
      <c r="C9">
        <v>0.10469000000000001</v>
      </c>
      <c r="D9">
        <v>140.1</v>
      </c>
      <c r="E9">
        <v>0.23166999999999999</v>
      </c>
      <c r="F9">
        <v>140.30000000000001</v>
      </c>
      <c r="G9">
        <v>0.52336300000000002</v>
      </c>
      <c r="H9">
        <v>140.72999999999999</v>
      </c>
      <c r="I9">
        <v>1.14473</v>
      </c>
      <c r="J9">
        <v>141.61183</v>
      </c>
    </row>
    <row r="10" spans="1:10" x14ac:dyDescent="0.4">
      <c r="A10">
        <v>9.1795000000000002E-2</v>
      </c>
      <c r="B10">
        <v>160.1</v>
      </c>
      <c r="C10">
        <v>0.18826499999999999</v>
      </c>
      <c r="D10">
        <v>160.30000000000001</v>
      </c>
      <c r="E10">
        <v>0.59678399999999998</v>
      </c>
      <c r="F10">
        <v>161</v>
      </c>
      <c r="G10">
        <v>1.5379320000000001</v>
      </c>
      <c r="H10">
        <v>162.47999999999999</v>
      </c>
      <c r="I10">
        <v>2.0403099999999998</v>
      </c>
      <c r="J10">
        <v>153.09189000000001</v>
      </c>
    </row>
    <row r="11" spans="1:10" x14ac:dyDescent="0.4">
      <c r="A11">
        <v>0.12364700000000001</v>
      </c>
      <c r="B11">
        <v>180.2</v>
      </c>
      <c r="C11">
        <v>0.39317299999999999</v>
      </c>
      <c r="D11">
        <v>180.7</v>
      </c>
      <c r="E11">
        <v>0.964978</v>
      </c>
      <c r="F11">
        <v>171.6</v>
      </c>
      <c r="G11" t="s">
        <v>34</v>
      </c>
      <c r="H11" t="s">
        <v>34</v>
      </c>
      <c r="I11" t="s">
        <v>34</v>
      </c>
      <c r="J11" t="s">
        <v>34</v>
      </c>
    </row>
    <row r="12" spans="1:10" x14ac:dyDescent="0.4">
      <c r="A12">
        <v>0.185861</v>
      </c>
      <c r="B12">
        <v>200.4</v>
      </c>
      <c r="C12">
        <v>0.86694099999999996</v>
      </c>
      <c r="D12">
        <v>201.7</v>
      </c>
      <c r="E12">
        <v>1.544222</v>
      </c>
      <c r="F12">
        <v>191.9</v>
      </c>
      <c r="G12" t="s">
        <v>34</v>
      </c>
      <c r="H12" t="s">
        <v>34</v>
      </c>
      <c r="I12" t="s">
        <v>34</v>
      </c>
      <c r="J12" t="s">
        <v>34</v>
      </c>
    </row>
    <row r="13" spans="1:10" x14ac:dyDescent="0.4">
      <c r="A13">
        <v>0.31024499999999999</v>
      </c>
      <c r="B13">
        <v>220.7</v>
      </c>
      <c r="C13">
        <v>1.2840910000000001</v>
      </c>
      <c r="D13">
        <v>212.7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</row>
    <row r="14" spans="1:10" x14ac:dyDescent="0.4">
      <c r="A14">
        <v>0.553481</v>
      </c>
      <c r="B14">
        <v>241.3</v>
      </c>
      <c r="C14">
        <v>1.885783</v>
      </c>
      <c r="D14">
        <v>224.2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</row>
    <row r="15" spans="1:10" x14ac:dyDescent="0.4">
      <c r="A15">
        <v>1.011009</v>
      </c>
      <c r="B15">
        <v>262.60000000000002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</row>
    <row r="16" spans="1:10" x14ac:dyDescent="0.4">
      <c r="A16">
        <v>1.3649899999999999</v>
      </c>
      <c r="B16">
        <v>273.7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</row>
    <row r="17" spans="1:10" x14ac:dyDescent="0.4">
      <c r="A17">
        <v>1.8353809999999999</v>
      </c>
      <c r="B17">
        <v>285.2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8"/>
  <sheetViews>
    <sheetView zoomScale="130" zoomScaleNormal="130" workbookViewId="0">
      <selection activeCell="L40" sqref="L40"/>
    </sheetView>
  </sheetViews>
  <sheetFormatPr defaultRowHeight="14.6" x14ac:dyDescent="0.4"/>
  <sheetData>
    <row r="1" spans="1:6" x14ac:dyDescent="0.4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4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4">
      <c r="A3">
        <v>0.01</v>
      </c>
      <c r="B3">
        <v>20.001999999999999</v>
      </c>
      <c r="C3">
        <v>1.0362E-2</v>
      </c>
      <c r="D3">
        <v>20.00207</v>
      </c>
      <c r="E3">
        <v>1.081E-2</v>
      </c>
      <c r="F3">
        <v>20.00216</v>
      </c>
    </row>
    <row r="4" spans="1:6" x14ac:dyDescent="0.4">
      <c r="A4">
        <v>1.9997999999999998E-2</v>
      </c>
      <c r="B4">
        <v>40.008000000000003</v>
      </c>
      <c r="C4">
        <v>2.0723999999999999E-2</v>
      </c>
      <c r="D4">
        <v>40.008290000000002</v>
      </c>
      <c r="E4">
        <v>2.1621999999999999E-2</v>
      </c>
      <c r="F4">
        <v>40.008650000000003</v>
      </c>
    </row>
    <row r="5" spans="1:6" x14ac:dyDescent="0.4">
      <c r="A5">
        <v>2.9996999999999999E-2</v>
      </c>
      <c r="B5">
        <v>60.018000000000001</v>
      </c>
      <c r="C5">
        <v>3.1101E-2</v>
      </c>
      <c r="D5">
        <v>60.018659999999997</v>
      </c>
      <c r="E5">
        <v>3.2510999999999998E-2</v>
      </c>
      <c r="F5">
        <v>60.019509999999997</v>
      </c>
    </row>
    <row r="6" spans="1:6" x14ac:dyDescent="0.4">
      <c r="A6">
        <v>4.0016999999999997E-2</v>
      </c>
      <c r="B6">
        <v>80.032020000000003</v>
      </c>
      <c r="C6">
        <v>4.1665000000000001E-2</v>
      </c>
      <c r="D6">
        <v>80.033339999999995</v>
      </c>
      <c r="E6">
        <v>4.4313999999999999E-2</v>
      </c>
      <c r="F6">
        <v>80.03546</v>
      </c>
    </row>
    <row r="7" spans="1:6" x14ac:dyDescent="0.4">
      <c r="A7">
        <v>5.0168999999999998E-2</v>
      </c>
      <c r="B7">
        <v>100.0502</v>
      </c>
      <c r="C7">
        <v>5.3416999999999999E-2</v>
      </c>
      <c r="D7">
        <v>100.0534</v>
      </c>
      <c r="E7">
        <v>6.1885999999999997E-2</v>
      </c>
      <c r="F7">
        <v>100.06189999999999</v>
      </c>
    </row>
    <row r="8" spans="1:6" x14ac:dyDescent="0.4">
      <c r="A8">
        <v>6.0899000000000002E-2</v>
      </c>
      <c r="B8">
        <v>120.0731</v>
      </c>
      <c r="C8">
        <v>7.0333000000000007E-2</v>
      </c>
      <c r="D8">
        <v>120.0844</v>
      </c>
      <c r="E8">
        <v>0.104509</v>
      </c>
      <c r="F8">
        <v>120.1255</v>
      </c>
    </row>
    <row r="9" spans="1:6" x14ac:dyDescent="0.4">
      <c r="A9">
        <v>7.3584999999999998E-2</v>
      </c>
      <c r="B9">
        <v>140.10310000000001</v>
      </c>
      <c r="C9">
        <v>0.10469000000000001</v>
      </c>
      <c r="D9">
        <v>140.14660000000001</v>
      </c>
      <c r="E9">
        <v>0.23166999999999999</v>
      </c>
      <c r="F9">
        <v>140.32470000000001</v>
      </c>
    </row>
    <row r="10" spans="1:6" x14ac:dyDescent="0.4">
      <c r="A10">
        <v>9.1795000000000002E-2</v>
      </c>
      <c r="B10">
        <v>160.14689999999999</v>
      </c>
      <c r="C10">
        <v>0.18826499999999999</v>
      </c>
      <c r="D10">
        <v>160.3015</v>
      </c>
      <c r="E10">
        <v>0.59678399999999998</v>
      </c>
      <c r="F10">
        <v>160.95769999999999</v>
      </c>
    </row>
    <row r="11" spans="1:6" x14ac:dyDescent="0.4">
      <c r="A11">
        <v>0.12364700000000001</v>
      </c>
      <c r="B11">
        <v>180.2227</v>
      </c>
      <c r="C11">
        <v>0.39317299999999999</v>
      </c>
      <c r="D11">
        <v>180.70910000000001</v>
      </c>
      <c r="E11">
        <v>0.964978</v>
      </c>
      <c r="F11">
        <v>171.64840000000001</v>
      </c>
    </row>
    <row r="12" spans="1:6" x14ac:dyDescent="0.4">
      <c r="A12">
        <v>0.185861</v>
      </c>
      <c r="B12">
        <v>200.37209999999999</v>
      </c>
      <c r="C12">
        <v>0.86694099999999996</v>
      </c>
      <c r="D12">
        <v>201.7414</v>
      </c>
      <c r="E12">
        <v>1.544222</v>
      </c>
      <c r="F12">
        <v>191.94120000000001</v>
      </c>
    </row>
    <row r="13" spans="1:6" x14ac:dyDescent="0.4">
      <c r="A13">
        <v>0.31024499999999999</v>
      </c>
      <c r="B13">
        <v>220.68360000000001</v>
      </c>
      <c r="C13">
        <v>1.2840910000000001</v>
      </c>
      <c r="D13">
        <v>212.714</v>
      </c>
      <c r="E13">
        <v>34.145980000000002</v>
      </c>
      <c r="F13">
        <v>595.16099999999994</v>
      </c>
    </row>
    <row r="14" spans="1:6" x14ac:dyDescent="0.4">
      <c r="A14">
        <v>0.553481</v>
      </c>
      <c r="B14">
        <v>241.33199999999999</v>
      </c>
      <c r="C14">
        <v>1.885783</v>
      </c>
      <c r="D14">
        <v>224.18809999999999</v>
      </c>
      <c r="E14" t="s">
        <v>34</v>
      </c>
      <c r="F14" t="s">
        <v>34</v>
      </c>
    </row>
    <row r="15" spans="1:6" x14ac:dyDescent="0.4">
      <c r="A15">
        <v>1.011009</v>
      </c>
      <c r="B15">
        <v>262.642</v>
      </c>
      <c r="C15">
        <v>35.907209999999999</v>
      </c>
      <c r="D15">
        <v>655.85599999999999</v>
      </c>
      <c r="E15" t="s">
        <v>34</v>
      </c>
      <c r="F15" t="s">
        <v>34</v>
      </c>
    </row>
    <row r="16" spans="1:6" x14ac:dyDescent="0.4">
      <c r="A16">
        <v>1.3649899999999999</v>
      </c>
      <c r="B16">
        <v>273.71069999999997</v>
      </c>
      <c r="C16" t="s">
        <v>34</v>
      </c>
      <c r="D16" t="s">
        <v>34</v>
      </c>
      <c r="E16" t="s">
        <v>34</v>
      </c>
      <c r="F16" t="s">
        <v>34</v>
      </c>
    </row>
    <row r="17" spans="1:6" x14ac:dyDescent="0.4">
      <c r="A17">
        <v>1.8353809999999999</v>
      </c>
      <c r="B17">
        <v>285.18650000000002</v>
      </c>
      <c r="C17" t="s">
        <v>34</v>
      </c>
      <c r="D17" t="s">
        <v>34</v>
      </c>
      <c r="E17" t="s">
        <v>34</v>
      </c>
      <c r="F17" t="s">
        <v>34</v>
      </c>
    </row>
    <row r="18" spans="1:6" x14ac:dyDescent="0.4">
      <c r="A18">
        <v>50.319659999999999</v>
      </c>
      <c r="B18">
        <v>868.35</v>
      </c>
      <c r="C18" t="s">
        <v>34</v>
      </c>
      <c r="D18" t="s">
        <v>34</v>
      </c>
      <c r="E18" t="s">
        <v>34</v>
      </c>
      <c r="F18" t="s">
        <v>34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B0D253-82BE-407B-A99A-5C9012782B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126cb-1963-4e7b-b13a-15d2f64f78e9"/>
    <ds:schemaRef ds:uri="f41f4605-e15c-4135-bd96-d3970596b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4C9385-3AC8-47DE-AFE0-2EB8CD8856F1}">
  <ds:schemaRefs>
    <ds:schemaRef ds:uri="http://schemas.microsoft.com/office/2006/metadata/properties"/>
    <ds:schemaRef ds:uri="http://schemas.microsoft.com/office/infopath/2007/PartnerControls"/>
    <ds:schemaRef ds:uri="f41f4605-e15c-4135-bd96-d3970596b173"/>
    <ds:schemaRef ds:uri="71e126cb-1963-4e7b-b13a-15d2f64f78e9"/>
  </ds:schemaRefs>
</ds:datastoreItem>
</file>

<file path=customXml/itemProps3.xml><?xml version="1.0" encoding="utf-8"?>
<ds:datastoreItem xmlns:ds="http://schemas.openxmlformats.org/officeDocument/2006/customXml" ds:itemID="{A1EB181C-B032-4B55-8488-B934A42A52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Sd_nopeak</vt:lpstr>
      <vt:lpstr>alpha</vt:lpstr>
      <vt:lpstr>Young Modulus</vt:lpstr>
      <vt:lpstr>Fatigue Curves</vt:lpstr>
      <vt:lpstr>Sm</vt:lpstr>
      <vt:lpstr>Keff_rec</vt:lpstr>
      <vt:lpstr>Sy_min</vt:lpstr>
      <vt:lpstr>Sy_moy</vt:lpstr>
      <vt:lpstr>Su_min</vt:lpstr>
      <vt:lpstr>Sd</vt:lpstr>
      <vt:lpstr>Se</vt:lpstr>
      <vt:lpstr>Keps</vt:lpstr>
      <vt:lpstr>Kmu</vt:lpstr>
      <vt:lpstr>K-m</vt:lpstr>
      <vt:lpstr>Nu</vt:lpstr>
      <vt:lpstr>TrueStressStrain</vt:lpstr>
      <vt:lpstr>TrueStressStrain2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Laghi Davide (F4E)</cp:lastModifiedBy>
  <dcterms:created xsi:type="dcterms:W3CDTF">2020-03-06T09:01:04Z</dcterms:created>
  <dcterms:modified xsi:type="dcterms:W3CDTF">2025-07-18T13:16:23Z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