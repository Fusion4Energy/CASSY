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laghi\Documents\GitHub\StressAssessment\src\kaiser\additional_data\materials\"/>
    </mc:Choice>
  </mc:AlternateContent>
  <xr:revisionPtr revIDLastSave="0" documentId="13_ncr:1_{B8286497-62C9-4260-A064-BF94DC318541}" xr6:coauthVersionLast="47" xr6:coauthVersionMax="47" xr10:uidLastSave="{00000000-0000-0000-0000-000000000000}"/>
  <bookViews>
    <workbookView xWindow="-108" yWindow="-108" windowWidth="23256" windowHeight="12576" activeTab="9" xr2:uid="{00000000-000D-0000-FFFF-FFFF00000000}"/>
  </bookViews>
  <sheets>
    <sheet name="Sd_nopeak" sheetId="13" r:id="rId1"/>
    <sheet name="Young Modulus" sheetId="1" r:id="rId2"/>
    <sheet name="Fatigue Curves" sheetId="2" r:id="rId3"/>
    <sheet name="Sm" sheetId="7" r:id="rId4"/>
    <sheet name="Keff_rec" sheetId="8" r:id="rId5"/>
    <sheet name="Sy_min" sheetId="9" r:id="rId6"/>
    <sheet name="Su_min" sheetId="10" r:id="rId7"/>
    <sheet name="Sd" sheetId="11" r:id="rId8"/>
    <sheet name="Se" sheetId="12" r:id="rId9"/>
    <sheet name="Keps" sheetId="3" r:id="rId10"/>
    <sheet name="Kmu" sheetId="4" r:id="rId11"/>
    <sheet name="K-m" sheetId="5" r:id="rId12"/>
    <sheet name="Nu" sheetId="6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7" l="1"/>
</calcChain>
</file>

<file path=xl/sharedStrings.xml><?xml version="1.0" encoding="utf-8"?>
<sst xmlns="http://schemas.openxmlformats.org/spreadsheetml/2006/main" count="215" uniqueCount="23">
  <si>
    <t>T</t>
  </si>
  <si>
    <t>E [GPa]</t>
  </si>
  <si>
    <t>Ref:</t>
  </si>
  <si>
    <t>Ncycles</t>
  </si>
  <si>
    <t>Dstot</t>
  </si>
  <si>
    <t>K mu</t>
  </si>
  <si>
    <t>K</t>
  </si>
  <si>
    <t>m</t>
  </si>
  <si>
    <t>Poisson ratio</t>
  </si>
  <si>
    <t>T [°C]</t>
  </si>
  <si>
    <t>DPA</t>
  </si>
  <si>
    <t>dpa</t>
  </si>
  <si>
    <t>Su, min [Mpa]</t>
  </si>
  <si>
    <t>Sy,min [MPa]</t>
  </si>
  <si>
    <t>Se, irr [MPa]</t>
  </si>
  <si>
    <t>Sd, irr [Mpa]</t>
  </si>
  <si>
    <t>stress</t>
  </si>
  <si>
    <t>No limit</t>
  </si>
  <si>
    <t>Table A3.10S.47</t>
  </si>
  <si>
    <t>epsilon values</t>
  </si>
  <si>
    <r>
      <t>S</t>
    </r>
    <r>
      <rPr>
        <b/>
        <vertAlign val="subscript"/>
        <sz val="10"/>
        <color theme="1"/>
        <rFont val="Arial"/>
        <family val="2"/>
      </rPr>
      <t>mB,irr</t>
    </r>
    <r>
      <rPr>
        <b/>
        <sz val="10"/>
        <color theme="1"/>
        <rFont val="Arial"/>
        <family val="2"/>
      </rPr>
      <t xml:space="preserve"> [MPa]</t>
    </r>
  </si>
  <si>
    <t>A3.10S.41</t>
  </si>
  <si>
    <t>K eps [A3.10S.462]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</si>
</sst>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color indexed="11"/>
      <name val="Arial"/>
      <family val="2"/>
    </font>
    <font>
      <b/>
      <sz val="10"/>
      <name val="Symbol"/>
      <family val="1"/>
      <charset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color indexed="11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11" fontId="5" fillId="2" borderId="15" xfId="0" applyNumberFormat="1" applyFont="1" applyFill="1" applyBorder="1" applyAlignment="1">
      <alignment horizontal="center" vertical="center"/>
    </xf>
    <xf numFmtId="11" fontId="5" fillId="2" borderId="16" xfId="0" applyNumberFormat="1" applyFont="1" applyFill="1" applyBorder="1" applyAlignment="1">
      <alignment horizontal="center" vertical="center"/>
    </xf>
    <xf numFmtId="11" fontId="6" fillId="2" borderId="16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>
      <alignment horizontal="center" vertical="center"/>
    </xf>
    <xf numFmtId="0" fontId="3" fillId="3" borderId="0" xfId="0" applyFont="1" applyFill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7" fillId="3" borderId="17" xfId="0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11" fontId="0" fillId="4" borderId="0" xfId="0" applyNumberFormat="1" applyFill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8" fillId="4" borderId="31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164" fontId="9" fillId="5" borderId="27" xfId="0" applyNumberFormat="1" applyFont="1" applyFill="1" applyBorder="1" applyAlignment="1">
      <alignment horizontal="center" vertical="center"/>
    </xf>
    <xf numFmtId="164" fontId="9" fillId="5" borderId="28" xfId="0" applyNumberFormat="1" applyFont="1" applyFill="1" applyBorder="1" applyAlignment="1">
      <alignment horizontal="center" vertical="center"/>
    </xf>
    <xf numFmtId="164" fontId="9" fillId="5" borderId="29" xfId="0" applyNumberFormat="1" applyFont="1" applyFill="1" applyBorder="1" applyAlignment="1">
      <alignment horizontal="center" vertical="center"/>
    </xf>
    <xf numFmtId="0" fontId="9" fillId="5" borderId="30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164" fontId="8" fillId="4" borderId="32" xfId="0" applyNumberFormat="1" applyFont="1" applyFill="1" applyBorder="1" applyAlignment="1">
      <alignment horizontal="center" vertical="center"/>
    </xf>
    <xf numFmtId="164" fontId="8" fillId="4" borderId="33" xfId="0" applyNumberFormat="1" applyFont="1" applyFill="1" applyBorder="1" applyAlignment="1">
      <alignment horizontal="center" vertical="center"/>
    </xf>
    <xf numFmtId="0" fontId="8" fillId="5" borderId="34" xfId="0" applyFont="1" applyFill="1" applyBorder="1" applyAlignment="1">
      <alignment horizontal="center" vertical="center"/>
    </xf>
    <xf numFmtId="0" fontId="8" fillId="5" borderId="35" xfId="0" applyFont="1" applyFill="1" applyBorder="1" applyAlignment="1">
      <alignment horizontal="center" vertical="center"/>
    </xf>
    <xf numFmtId="0" fontId="8" fillId="5" borderId="36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0" fillId="4" borderId="33" xfId="0" applyFill="1" applyBorder="1" applyAlignment="1">
      <alignment horizontal="center"/>
    </xf>
    <xf numFmtId="11" fontId="0" fillId="4" borderId="13" xfId="0" applyNumberFormat="1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11" fontId="0" fillId="0" borderId="12" xfId="0" applyNumberFormat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11" fontId="3" fillId="3" borderId="2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1" fontId="2" fillId="4" borderId="20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4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E78E7-22BA-45C1-94DB-9B08B5302077}">
  <dimension ref="A1:L11"/>
  <sheetViews>
    <sheetView workbookViewId="0">
      <selection activeCell="H36" sqref="H36"/>
    </sheetView>
  </sheetViews>
  <sheetFormatPr defaultRowHeight="14.4" x14ac:dyDescent="0.3"/>
  <cols>
    <col min="1" max="1" width="11.5546875" customWidth="1"/>
  </cols>
  <sheetData>
    <row r="1" spans="1:12" x14ac:dyDescent="0.3">
      <c r="A1" t="s">
        <v>15</v>
      </c>
    </row>
    <row r="2" spans="1:12" x14ac:dyDescent="0.3">
      <c r="A2" s="36"/>
      <c r="B2" s="62" t="s">
        <v>11</v>
      </c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1:12" ht="15" thickBot="1" x14ac:dyDescent="0.35">
      <c r="A3" s="38" t="s">
        <v>9</v>
      </c>
      <c r="B3" s="39">
        <v>0</v>
      </c>
      <c r="C3" s="40">
        <v>0.5</v>
      </c>
      <c r="D3" s="40">
        <v>1</v>
      </c>
      <c r="E3" s="40">
        <v>1.5</v>
      </c>
      <c r="F3" s="40">
        <v>2</v>
      </c>
      <c r="G3" s="40">
        <v>2.5</v>
      </c>
      <c r="H3" s="40">
        <v>3</v>
      </c>
      <c r="I3" s="40">
        <v>3.5</v>
      </c>
      <c r="J3" s="40">
        <v>4</v>
      </c>
      <c r="K3" s="40">
        <v>4.5</v>
      </c>
      <c r="L3" s="41">
        <v>5</v>
      </c>
    </row>
    <row r="4" spans="1:12" x14ac:dyDescent="0.3">
      <c r="A4" s="42">
        <v>20</v>
      </c>
      <c r="B4" s="37">
        <v>0</v>
      </c>
      <c r="C4" s="37">
        <v>0</v>
      </c>
      <c r="D4" s="37">
        <v>0</v>
      </c>
      <c r="E4" s="37">
        <v>0</v>
      </c>
      <c r="F4" s="37">
        <v>0</v>
      </c>
      <c r="G4" s="37">
        <v>0</v>
      </c>
      <c r="H4" s="37">
        <v>0</v>
      </c>
      <c r="I4" s="37">
        <v>0</v>
      </c>
      <c r="J4" s="37">
        <v>0</v>
      </c>
      <c r="K4" s="37">
        <v>0</v>
      </c>
      <c r="L4" s="37">
        <v>0</v>
      </c>
    </row>
    <row r="5" spans="1:12" x14ac:dyDescent="0.3">
      <c r="A5" s="43">
        <v>50</v>
      </c>
      <c r="B5" s="37">
        <v>0</v>
      </c>
      <c r="C5" s="37">
        <v>0</v>
      </c>
      <c r="D5" s="37">
        <v>0</v>
      </c>
      <c r="E5" s="37">
        <v>0</v>
      </c>
      <c r="F5" s="37">
        <v>0</v>
      </c>
      <c r="G5" s="37">
        <v>0</v>
      </c>
      <c r="H5" s="37">
        <v>0</v>
      </c>
      <c r="I5" s="37">
        <v>0</v>
      </c>
      <c r="J5" s="37">
        <v>0</v>
      </c>
      <c r="K5" s="37">
        <v>0</v>
      </c>
      <c r="L5" s="37">
        <v>0</v>
      </c>
    </row>
    <row r="6" spans="1:12" x14ac:dyDescent="0.3">
      <c r="A6" s="43">
        <v>100</v>
      </c>
      <c r="B6" s="37">
        <v>0</v>
      </c>
      <c r="C6" s="37">
        <v>0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</row>
    <row r="7" spans="1:12" x14ac:dyDescent="0.3">
      <c r="A7" s="43">
        <v>150</v>
      </c>
      <c r="B7" s="37">
        <v>0</v>
      </c>
      <c r="C7" s="37">
        <v>0</v>
      </c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</row>
    <row r="8" spans="1:12" x14ac:dyDescent="0.3">
      <c r="A8" s="43">
        <v>200</v>
      </c>
      <c r="B8" s="37">
        <v>0</v>
      </c>
      <c r="C8" s="37">
        <v>0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</row>
    <row r="9" spans="1:12" x14ac:dyDescent="0.3">
      <c r="A9" s="43">
        <v>250</v>
      </c>
      <c r="B9" s="37">
        <v>0</v>
      </c>
      <c r="C9" s="37">
        <v>0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</row>
    <row r="10" spans="1:12" x14ac:dyDescent="0.3">
      <c r="A10" s="43">
        <v>300</v>
      </c>
      <c r="B10" s="37">
        <v>0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</row>
    <row r="11" spans="1:12" x14ac:dyDescent="0.3">
      <c r="A11" s="44">
        <v>350</v>
      </c>
      <c r="B11" s="37">
        <v>0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</row>
  </sheetData>
  <mergeCells count="1">
    <mergeCell ref="B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B11" sqref="B11"/>
    </sheetView>
  </sheetViews>
  <sheetFormatPr defaultColWidth="8.88671875" defaultRowHeight="14.4" x14ac:dyDescent="0.3"/>
  <cols>
    <col min="1" max="6" width="8.88671875" style="2"/>
    <col min="7" max="7" width="24.109375" style="2" customWidth="1"/>
    <col min="8" max="16384" width="8.88671875" style="2"/>
  </cols>
  <sheetData>
    <row r="1" spans="1:2" x14ac:dyDescent="0.3">
      <c r="A1" s="3" t="s">
        <v>0</v>
      </c>
      <c r="B1" s="3" t="s">
        <v>1</v>
      </c>
    </row>
    <row r="2" spans="1:2" x14ac:dyDescent="0.3">
      <c r="A2" s="24">
        <v>-300</v>
      </c>
      <c r="B2" s="24">
        <v>211</v>
      </c>
    </row>
    <row r="3" spans="1:2" x14ac:dyDescent="0.3">
      <c r="A3" s="2">
        <v>20</v>
      </c>
      <c r="B3" s="2">
        <v>211</v>
      </c>
    </row>
    <row r="4" spans="1:2" x14ac:dyDescent="0.3">
      <c r="A4" s="2">
        <v>100</v>
      </c>
      <c r="B4" s="2">
        <v>206</v>
      </c>
    </row>
    <row r="5" spans="1:2" x14ac:dyDescent="0.3">
      <c r="A5" s="2">
        <v>150</v>
      </c>
      <c r="B5" s="2">
        <v>203</v>
      </c>
    </row>
    <row r="6" spans="1:2" x14ac:dyDescent="0.3">
      <c r="A6" s="2">
        <v>200</v>
      </c>
      <c r="B6" s="2">
        <v>200</v>
      </c>
    </row>
    <row r="7" spans="1:2" x14ac:dyDescent="0.3">
      <c r="A7" s="2">
        <v>250</v>
      </c>
      <c r="B7" s="2">
        <v>196</v>
      </c>
    </row>
    <row r="8" spans="1:2" x14ac:dyDescent="0.3">
      <c r="A8" s="2">
        <v>300</v>
      </c>
      <c r="B8" s="2">
        <v>192</v>
      </c>
    </row>
    <row r="9" spans="1:2" x14ac:dyDescent="0.3">
      <c r="A9" s="2">
        <v>350</v>
      </c>
      <c r="B9" s="2">
        <v>187</v>
      </c>
    </row>
    <row r="10" spans="1:2" x14ac:dyDescent="0.3">
      <c r="A10" s="2">
        <v>400</v>
      </c>
      <c r="B10" s="2">
        <v>183</v>
      </c>
    </row>
    <row r="11" spans="1:2" x14ac:dyDescent="0.3">
      <c r="A11" s="2">
        <v>450</v>
      </c>
      <c r="B11" s="2">
        <v>178</v>
      </c>
    </row>
    <row r="12" spans="1:2" x14ac:dyDescent="0.3">
      <c r="A12" s="2">
        <v>500</v>
      </c>
      <c r="B12" s="2">
        <v>173</v>
      </c>
    </row>
    <row r="13" spans="1:2" x14ac:dyDescent="0.3">
      <c r="A13" s="2">
        <v>550</v>
      </c>
      <c r="B13" s="2">
        <v>168</v>
      </c>
    </row>
    <row r="14" spans="1:2" x14ac:dyDescent="0.3">
      <c r="A14" s="2">
        <v>600</v>
      </c>
      <c r="B14" s="2">
        <v>162</v>
      </c>
    </row>
    <row r="15" spans="1:2" x14ac:dyDescent="0.3">
      <c r="A15" s="25">
        <v>100000</v>
      </c>
      <c r="B15" s="24">
        <v>162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G21" sqref="G21"/>
    </sheetView>
  </sheetViews>
  <sheetFormatPr defaultColWidth="8.88671875" defaultRowHeight="14.4" x14ac:dyDescent="0.3"/>
  <cols>
    <col min="1" max="1" width="8.88671875" style="1"/>
    <col min="2" max="2" width="16.77734375" style="1" customWidth="1"/>
    <col min="3" max="16384" width="8.88671875" style="1"/>
  </cols>
  <sheetData>
    <row r="1" spans="1:3" x14ac:dyDescent="0.3">
      <c r="A1" s="1" t="s">
        <v>2</v>
      </c>
      <c r="B1" s="1" t="s">
        <v>18</v>
      </c>
    </row>
    <row r="2" spans="1:3" ht="43.95" customHeight="1" thickBot="1" x14ac:dyDescent="0.35">
      <c r="A2" s="65" t="s">
        <v>19</v>
      </c>
      <c r="B2" s="65"/>
      <c r="C2" s="65"/>
    </row>
    <row r="3" spans="1:3" ht="15" thickBot="1" x14ac:dyDescent="0.35">
      <c r="A3" s="4" t="s">
        <v>16</v>
      </c>
      <c r="B3" s="63" t="s">
        <v>0</v>
      </c>
      <c r="C3" s="64"/>
    </row>
    <row r="4" spans="1:3" ht="15" thickBot="1" x14ac:dyDescent="0.35">
      <c r="A4" s="7" t="s">
        <v>3</v>
      </c>
      <c r="B4" s="5">
        <v>20</v>
      </c>
      <c r="C4" s="6">
        <v>600</v>
      </c>
    </row>
    <row r="5" spans="1:3" x14ac:dyDescent="0.3">
      <c r="A5" s="57">
        <v>0</v>
      </c>
      <c r="B5" s="59">
        <v>1.0429999999999999</v>
      </c>
      <c r="C5" s="51">
        <v>1.0429999999999999</v>
      </c>
    </row>
    <row r="6" spans="1:3" x14ac:dyDescent="0.3">
      <c r="A6" s="54">
        <v>10</v>
      </c>
      <c r="B6" s="58">
        <v>1.042</v>
      </c>
      <c r="C6" s="55">
        <v>1.042</v>
      </c>
    </row>
    <row r="7" spans="1:3" x14ac:dyDescent="0.3">
      <c r="A7" s="54">
        <v>30</v>
      </c>
      <c r="B7" s="58">
        <v>0.78820000000000001</v>
      </c>
      <c r="C7" s="55">
        <v>0.78820000000000001</v>
      </c>
    </row>
    <row r="8" spans="1:3" x14ac:dyDescent="0.3">
      <c r="A8" s="54">
        <v>100</v>
      </c>
      <c r="B8" s="58">
        <v>0.63719999999999999</v>
      </c>
      <c r="C8" s="55">
        <v>0.63719999999999999</v>
      </c>
    </row>
    <row r="9" spans="1:3" x14ac:dyDescent="0.3">
      <c r="A9" s="54">
        <v>300</v>
      </c>
      <c r="B9" s="58">
        <v>0.46360000000000001</v>
      </c>
      <c r="C9" s="55">
        <v>0.46360000000000001</v>
      </c>
    </row>
    <row r="10" spans="1:3" x14ac:dyDescent="0.3">
      <c r="A10" s="54">
        <v>1000</v>
      </c>
      <c r="B10" s="58">
        <v>0.35699999999999998</v>
      </c>
      <c r="C10" s="55">
        <v>0.35699999999999998</v>
      </c>
    </row>
    <row r="11" spans="1:3" x14ac:dyDescent="0.3">
      <c r="A11" s="54">
        <v>3000</v>
      </c>
      <c r="B11" s="58">
        <v>0.3</v>
      </c>
      <c r="C11" s="55">
        <v>0.3</v>
      </c>
    </row>
    <row r="12" spans="1:3" x14ac:dyDescent="0.3">
      <c r="A12" s="56">
        <v>10000</v>
      </c>
      <c r="B12" s="58">
        <v>0.255</v>
      </c>
      <c r="C12" s="55">
        <v>0.255</v>
      </c>
    </row>
    <row r="13" spans="1:3" x14ac:dyDescent="0.3">
      <c r="A13" s="56">
        <v>30000</v>
      </c>
      <c r="B13" s="58">
        <v>0.222</v>
      </c>
      <c r="C13" s="55">
        <v>0.222</v>
      </c>
    </row>
    <row r="14" spans="1:3" x14ac:dyDescent="0.3">
      <c r="A14" s="56">
        <v>100000</v>
      </c>
      <c r="B14" s="58">
        <v>0.1915</v>
      </c>
      <c r="C14" s="55">
        <v>0.1915</v>
      </c>
    </row>
    <row r="15" spans="1:3" x14ac:dyDescent="0.3">
      <c r="A15" s="56">
        <v>300000</v>
      </c>
      <c r="B15" s="58">
        <v>0.1678</v>
      </c>
      <c r="C15" s="55">
        <v>0.1678</v>
      </c>
    </row>
    <row r="16" spans="1:3" x14ac:dyDescent="0.3">
      <c r="A16" s="56">
        <v>1000000</v>
      </c>
      <c r="B16" s="58">
        <v>0.1452</v>
      </c>
      <c r="C16" s="55">
        <v>0.1452</v>
      </c>
    </row>
    <row r="17" spans="1:3" ht="15" thickBot="1" x14ac:dyDescent="0.35">
      <c r="A17" s="52">
        <v>1000000</v>
      </c>
      <c r="B17" s="60">
        <v>0.14510000000000001</v>
      </c>
      <c r="C17" s="53">
        <v>0.14510000000000001</v>
      </c>
    </row>
  </sheetData>
  <mergeCells count="2">
    <mergeCell ref="B3:C3"/>
    <mergeCell ref="A2:C2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581A-3C59-46E7-A0C7-22A3B97D6358}">
  <dimension ref="A1:C19"/>
  <sheetViews>
    <sheetView workbookViewId="0">
      <selection activeCell="F20" sqref="F20"/>
    </sheetView>
  </sheetViews>
  <sheetFormatPr defaultRowHeight="14.4" x14ac:dyDescent="0.3"/>
  <cols>
    <col min="3" max="3" width="10.88671875" customWidth="1"/>
  </cols>
  <sheetData>
    <row r="1" spans="1:3" ht="16.2" thickBot="1" x14ac:dyDescent="0.35">
      <c r="A1" s="68" t="s">
        <v>20</v>
      </c>
      <c r="B1" s="69"/>
      <c r="C1" s="70"/>
    </row>
    <row r="2" spans="1:3" ht="15" thickBot="1" x14ac:dyDescent="0.35">
      <c r="A2" s="33"/>
      <c r="B2" s="66" t="s">
        <v>10</v>
      </c>
      <c r="C2" s="67"/>
    </row>
    <row r="3" spans="1:3" ht="15" thickBot="1" x14ac:dyDescent="0.35">
      <c r="A3" s="27" t="s">
        <v>9</v>
      </c>
      <c r="B3" s="34">
        <v>0</v>
      </c>
      <c r="C3" s="31">
        <v>100</v>
      </c>
    </row>
    <row r="4" spans="1:3" x14ac:dyDescent="0.3">
      <c r="A4" s="32">
        <v>0</v>
      </c>
      <c r="B4" s="45">
        <v>200</v>
      </c>
      <c r="C4" s="46">
        <v>200</v>
      </c>
    </row>
    <row r="5" spans="1:3" x14ac:dyDescent="0.3">
      <c r="A5" s="28">
        <v>20</v>
      </c>
      <c r="B5" s="47">
        <v>200</v>
      </c>
      <c r="C5" s="47">
        <v>200</v>
      </c>
    </row>
    <row r="6" spans="1:3" x14ac:dyDescent="0.3">
      <c r="A6" s="29">
        <v>50</v>
      </c>
      <c r="B6" s="48">
        <v>197</v>
      </c>
      <c r="C6" s="48">
        <v>197</v>
      </c>
    </row>
    <row r="7" spans="1:3" x14ac:dyDescent="0.3">
      <c r="A7" s="29">
        <v>100</v>
      </c>
      <c r="B7" s="48">
        <v>193</v>
      </c>
      <c r="C7" s="48">
        <v>193</v>
      </c>
    </row>
    <row r="8" spans="1:3" x14ac:dyDescent="0.3">
      <c r="A8" s="29">
        <v>150</v>
      </c>
      <c r="B8" s="48">
        <v>190</v>
      </c>
      <c r="C8" s="48">
        <v>190</v>
      </c>
    </row>
    <row r="9" spans="1:3" x14ac:dyDescent="0.3">
      <c r="A9" s="29">
        <v>200</v>
      </c>
      <c r="B9" s="48">
        <v>187</v>
      </c>
      <c r="C9" s="48">
        <v>187</v>
      </c>
    </row>
    <row r="10" spans="1:3" x14ac:dyDescent="0.3">
      <c r="A10" s="29">
        <v>250</v>
      </c>
      <c r="B10" s="48">
        <v>183</v>
      </c>
      <c r="C10" s="48">
        <v>183</v>
      </c>
    </row>
    <row r="11" spans="1:3" x14ac:dyDescent="0.3">
      <c r="A11" s="29">
        <v>300</v>
      </c>
      <c r="B11" s="48">
        <v>180</v>
      </c>
      <c r="C11" s="48">
        <v>180</v>
      </c>
    </row>
    <row r="12" spans="1:3" x14ac:dyDescent="0.3">
      <c r="A12" s="29">
        <v>350</v>
      </c>
      <c r="B12" s="49">
        <v>177</v>
      </c>
      <c r="C12" s="49">
        <v>177</v>
      </c>
    </row>
    <row r="13" spans="1:3" x14ac:dyDescent="0.3">
      <c r="A13" s="29">
        <v>400</v>
      </c>
      <c r="B13" s="49">
        <v>173</v>
      </c>
      <c r="C13" s="49">
        <v>173</v>
      </c>
    </row>
    <row r="14" spans="1:3" x14ac:dyDescent="0.3">
      <c r="A14" s="29">
        <v>450</v>
      </c>
      <c r="B14" s="49">
        <v>170</v>
      </c>
      <c r="C14" s="49">
        <v>170</v>
      </c>
    </row>
    <row r="15" spans="1:3" x14ac:dyDescent="0.3">
      <c r="A15" s="29">
        <v>500</v>
      </c>
      <c r="B15" s="49">
        <v>163</v>
      </c>
      <c r="C15" s="49">
        <v>163</v>
      </c>
    </row>
    <row r="16" spans="1:3" x14ac:dyDescent="0.3">
      <c r="A16" s="29">
        <v>550</v>
      </c>
      <c r="B16" s="49">
        <v>153</v>
      </c>
      <c r="C16" s="49">
        <v>153</v>
      </c>
    </row>
    <row r="17" spans="1:3" x14ac:dyDescent="0.3">
      <c r="A17" s="29">
        <v>600</v>
      </c>
      <c r="B17" s="49">
        <v>143</v>
      </c>
      <c r="C17" s="49">
        <v>143</v>
      </c>
    </row>
    <row r="18" spans="1:3" x14ac:dyDescent="0.3">
      <c r="A18" s="29">
        <v>650</v>
      </c>
      <c r="B18" s="49">
        <v>127</v>
      </c>
      <c r="C18" s="49">
        <v>127</v>
      </c>
    </row>
    <row r="19" spans="1:3" ht="15" thickBot="1" x14ac:dyDescent="0.35">
      <c r="A19" s="30">
        <v>651</v>
      </c>
      <c r="B19" s="50">
        <v>127</v>
      </c>
      <c r="C19" s="26">
        <f>B19</f>
        <v>127</v>
      </c>
    </row>
  </sheetData>
  <mergeCells count="2">
    <mergeCell ref="B2:C2"/>
    <mergeCell ref="A1:C1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59BE-600F-465A-9C73-696CD2164805}">
  <dimension ref="A2:C10"/>
  <sheetViews>
    <sheetView workbookViewId="0">
      <selection activeCell="C3" sqref="C3"/>
    </sheetView>
  </sheetViews>
  <sheetFormatPr defaultColWidth="8.88671875" defaultRowHeight="14.4" x14ac:dyDescent="0.3"/>
  <cols>
    <col min="1" max="16384" width="8.88671875" style="1"/>
  </cols>
  <sheetData>
    <row r="2" spans="1:3" x14ac:dyDescent="0.3">
      <c r="B2" s="62" t="s">
        <v>11</v>
      </c>
      <c r="C2" s="62"/>
    </row>
    <row r="3" spans="1:3" x14ac:dyDescent="0.3">
      <c r="A3" s="35" t="s">
        <v>9</v>
      </c>
      <c r="B3" s="35">
        <v>1</v>
      </c>
      <c r="C3" s="1">
        <v>0</v>
      </c>
    </row>
    <row r="4" spans="1:3" x14ac:dyDescent="0.3">
      <c r="A4" s="1">
        <v>50</v>
      </c>
      <c r="B4" s="23">
        <v>0</v>
      </c>
      <c r="C4" s="23">
        <v>0</v>
      </c>
    </row>
    <row r="5" spans="1:3" x14ac:dyDescent="0.3">
      <c r="A5" s="1">
        <v>100</v>
      </c>
      <c r="B5" s="23">
        <v>0</v>
      </c>
      <c r="C5" s="23">
        <v>0</v>
      </c>
    </row>
    <row r="6" spans="1:3" x14ac:dyDescent="0.3">
      <c r="A6" s="1">
        <v>150</v>
      </c>
      <c r="B6" s="23">
        <v>0</v>
      </c>
      <c r="C6" s="23">
        <v>0</v>
      </c>
    </row>
    <row r="7" spans="1:3" x14ac:dyDescent="0.3">
      <c r="A7" s="1">
        <v>200</v>
      </c>
      <c r="B7" s="23">
        <v>0</v>
      </c>
      <c r="C7" s="23">
        <v>0</v>
      </c>
    </row>
    <row r="8" spans="1:3" x14ac:dyDescent="0.3">
      <c r="A8" s="1">
        <v>250</v>
      </c>
      <c r="B8" s="23">
        <v>0</v>
      </c>
      <c r="C8" s="23">
        <v>0</v>
      </c>
    </row>
    <row r="9" spans="1:3" x14ac:dyDescent="0.3">
      <c r="A9" s="1">
        <v>300</v>
      </c>
      <c r="B9" s="23">
        <v>0</v>
      </c>
      <c r="C9" s="23">
        <v>0</v>
      </c>
    </row>
    <row r="10" spans="1:3" x14ac:dyDescent="0.3">
      <c r="A10" s="1">
        <v>350</v>
      </c>
      <c r="B10" s="23">
        <v>0</v>
      </c>
      <c r="C10" s="23">
        <v>0</v>
      </c>
    </row>
  </sheetData>
  <mergeCells count="1">
    <mergeCell ref="B2:C2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B7B7-B490-4CD3-AB1A-AACEAE39BE05}">
  <dimension ref="A1:C17"/>
  <sheetViews>
    <sheetView workbookViewId="0">
      <selection activeCell="A4" sqref="A4:A16"/>
    </sheetView>
  </sheetViews>
  <sheetFormatPr defaultColWidth="8.88671875" defaultRowHeight="14.4" x14ac:dyDescent="0.3"/>
  <cols>
    <col min="1" max="1" width="13.33203125" style="1" customWidth="1"/>
    <col min="2" max="16384" width="8.88671875" style="1"/>
  </cols>
  <sheetData>
    <row r="1" spans="1:3" x14ac:dyDescent="0.3">
      <c r="A1" s="1" t="s">
        <v>13</v>
      </c>
      <c r="B1" s="1" t="s">
        <v>21</v>
      </c>
    </row>
    <row r="2" spans="1:3" x14ac:dyDescent="0.3">
      <c r="B2" s="62" t="s">
        <v>11</v>
      </c>
      <c r="C2" s="62"/>
    </row>
    <row r="3" spans="1:3" x14ac:dyDescent="0.3">
      <c r="A3" s="35" t="s">
        <v>9</v>
      </c>
      <c r="B3" s="35">
        <v>0</v>
      </c>
      <c r="C3" s="35">
        <v>100</v>
      </c>
    </row>
    <row r="4" spans="1:3" x14ac:dyDescent="0.3">
      <c r="A4" s="35">
        <v>20</v>
      </c>
      <c r="B4" s="1">
        <v>600</v>
      </c>
      <c r="C4" s="1">
        <v>600</v>
      </c>
    </row>
    <row r="5" spans="1:3" x14ac:dyDescent="0.3">
      <c r="A5" s="35">
        <v>50</v>
      </c>
      <c r="B5" s="1">
        <v>592</v>
      </c>
      <c r="C5" s="1">
        <v>592</v>
      </c>
    </row>
    <row r="6" spans="1:3" x14ac:dyDescent="0.3">
      <c r="A6" s="35">
        <v>100</v>
      </c>
      <c r="B6" s="1">
        <v>580</v>
      </c>
      <c r="C6" s="1">
        <v>580</v>
      </c>
    </row>
    <row r="7" spans="1:3" x14ac:dyDescent="0.3">
      <c r="A7" s="35">
        <v>150</v>
      </c>
      <c r="B7" s="1">
        <v>570</v>
      </c>
      <c r="C7" s="1">
        <v>570</v>
      </c>
    </row>
    <row r="8" spans="1:3" x14ac:dyDescent="0.3">
      <c r="A8" s="35">
        <v>200</v>
      </c>
      <c r="B8" s="1">
        <v>560</v>
      </c>
      <c r="C8" s="1">
        <v>560</v>
      </c>
    </row>
    <row r="9" spans="1:3" x14ac:dyDescent="0.3">
      <c r="A9" s="35">
        <v>250</v>
      </c>
      <c r="B9" s="1">
        <v>550</v>
      </c>
      <c r="C9" s="1">
        <v>550</v>
      </c>
    </row>
    <row r="10" spans="1:3" x14ac:dyDescent="0.3">
      <c r="A10" s="35">
        <v>300</v>
      </c>
      <c r="B10" s="1">
        <v>540</v>
      </c>
      <c r="C10" s="1">
        <v>540</v>
      </c>
    </row>
    <row r="11" spans="1:3" x14ac:dyDescent="0.3">
      <c r="A11" s="35">
        <v>350</v>
      </c>
      <c r="B11" s="1">
        <v>530</v>
      </c>
      <c r="C11" s="1">
        <v>530</v>
      </c>
    </row>
    <row r="12" spans="1:3" x14ac:dyDescent="0.3">
      <c r="A12" s="35">
        <v>400</v>
      </c>
      <c r="B12" s="1">
        <v>520</v>
      </c>
      <c r="C12" s="1">
        <v>520</v>
      </c>
    </row>
    <row r="13" spans="1:3" x14ac:dyDescent="0.3">
      <c r="A13" s="35">
        <v>450</v>
      </c>
      <c r="B13" s="1">
        <v>510</v>
      </c>
      <c r="C13" s="1">
        <v>510</v>
      </c>
    </row>
    <row r="14" spans="1:3" x14ac:dyDescent="0.3">
      <c r="A14" s="35">
        <v>500</v>
      </c>
      <c r="B14" s="1">
        <v>490</v>
      </c>
      <c r="C14" s="1">
        <v>490</v>
      </c>
    </row>
    <row r="15" spans="1:3" x14ac:dyDescent="0.3">
      <c r="A15" s="35">
        <v>550</v>
      </c>
      <c r="B15" s="1">
        <v>460</v>
      </c>
      <c r="C15" s="1">
        <v>460</v>
      </c>
    </row>
    <row r="16" spans="1:3" x14ac:dyDescent="0.3">
      <c r="A16" s="35">
        <v>600</v>
      </c>
      <c r="B16" s="1">
        <v>430</v>
      </c>
      <c r="C16" s="1">
        <v>430</v>
      </c>
    </row>
    <row r="17" spans="1:3" x14ac:dyDescent="0.3">
      <c r="A17" s="35">
        <v>650</v>
      </c>
      <c r="B17" s="1">
        <v>380</v>
      </c>
      <c r="C17" s="1">
        <v>380</v>
      </c>
    </row>
  </sheetData>
  <mergeCells count="1">
    <mergeCell ref="B2:C2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86E78-4B6E-4E72-8283-E849FD84C2E5}">
  <dimension ref="A1:C16"/>
  <sheetViews>
    <sheetView workbookViewId="0">
      <selection activeCell="F20" sqref="F20"/>
    </sheetView>
  </sheetViews>
  <sheetFormatPr defaultColWidth="8.88671875" defaultRowHeight="14.4" x14ac:dyDescent="0.3"/>
  <cols>
    <col min="1" max="16384" width="8.88671875" style="1"/>
  </cols>
  <sheetData>
    <row r="1" spans="1:3" x14ac:dyDescent="0.3">
      <c r="A1" s="62" t="s">
        <v>12</v>
      </c>
      <c r="B1" s="62"/>
      <c r="C1" s="62"/>
    </row>
    <row r="2" spans="1:3" x14ac:dyDescent="0.3">
      <c r="B2" s="62" t="s">
        <v>11</v>
      </c>
      <c r="C2" s="71"/>
    </row>
    <row r="3" spans="1:3" x14ac:dyDescent="0.3">
      <c r="A3" s="35" t="s">
        <v>9</v>
      </c>
      <c r="B3" s="35">
        <v>0</v>
      </c>
      <c r="C3" s="35">
        <v>100</v>
      </c>
    </row>
    <row r="4" spans="1:3" x14ac:dyDescent="0.3">
      <c r="A4" s="35">
        <v>20</v>
      </c>
      <c r="B4" s="1">
        <v>900</v>
      </c>
      <c r="C4" s="1">
        <v>900</v>
      </c>
    </row>
    <row r="5" spans="1:3" x14ac:dyDescent="0.3">
      <c r="A5" s="35">
        <v>50</v>
      </c>
      <c r="B5" s="1">
        <v>886</v>
      </c>
      <c r="C5" s="1">
        <v>886</v>
      </c>
    </row>
    <row r="6" spans="1:3" x14ac:dyDescent="0.3">
      <c r="A6" s="35">
        <v>100</v>
      </c>
      <c r="B6" s="1">
        <v>862</v>
      </c>
      <c r="C6" s="1">
        <v>862</v>
      </c>
    </row>
    <row r="7" spans="1:3" x14ac:dyDescent="0.3">
      <c r="A7" s="35">
        <v>150</v>
      </c>
      <c r="B7" s="1">
        <v>838</v>
      </c>
      <c r="C7" s="1">
        <v>838</v>
      </c>
    </row>
    <row r="8" spans="1:3" x14ac:dyDescent="0.3">
      <c r="A8" s="35">
        <v>200</v>
      </c>
      <c r="B8" s="1">
        <v>815</v>
      </c>
      <c r="C8" s="1">
        <v>815</v>
      </c>
    </row>
    <row r="9" spans="1:3" x14ac:dyDescent="0.3">
      <c r="A9" s="35">
        <v>250</v>
      </c>
      <c r="B9" s="1">
        <v>793</v>
      </c>
      <c r="C9" s="1">
        <v>793</v>
      </c>
    </row>
    <row r="10" spans="1:3" x14ac:dyDescent="0.3">
      <c r="A10" s="35">
        <v>300</v>
      </c>
      <c r="B10" s="1">
        <v>767</v>
      </c>
      <c r="C10" s="1">
        <v>767</v>
      </c>
    </row>
    <row r="11" spans="1:3" x14ac:dyDescent="0.3">
      <c r="A11" s="35">
        <v>350</v>
      </c>
      <c r="B11" s="1">
        <v>744</v>
      </c>
      <c r="C11" s="1">
        <v>744</v>
      </c>
    </row>
    <row r="12" spans="1:3" x14ac:dyDescent="0.3">
      <c r="A12" s="35">
        <v>400</v>
      </c>
      <c r="B12" s="1">
        <v>720</v>
      </c>
      <c r="C12" s="1">
        <v>720</v>
      </c>
    </row>
    <row r="13" spans="1:3" x14ac:dyDescent="0.3">
      <c r="A13" s="35">
        <v>450</v>
      </c>
      <c r="B13" s="1">
        <v>710</v>
      </c>
      <c r="C13" s="1">
        <v>710</v>
      </c>
    </row>
    <row r="14" spans="1:3" x14ac:dyDescent="0.3">
      <c r="A14" s="35">
        <v>500</v>
      </c>
      <c r="B14" s="1">
        <v>700</v>
      </c>
      <c r="C14" s="1">
        <v>700</v>
      </c>
    </row>
    <row r="15" spans="1:3" x14ac:dyDescent="0.3">
      <c r="A15" s="35">
        <v>550</v>
      </c>
      <c r="B15" s="1">
        <v>690</v>
      </c>
      <c r="C15" s="1">
        <v>690</v>
      </c>
    </row>
    <row r="16" spans="1:3" x14ac:dyDescent="0.3">
      <c r="A16" s="35">
        <v>600</v>
      </c>
      <c r="B16" s="1">
        <v>670</v>
      </c>
      <c r="C16" s="1">
        <v>670</v>
      </c>
    </row>
  </sheetData>
  <mergeCells count="2">
    <mergeCell ref="A1:C1"/>
    <mergeCell ref="B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757A-8ADF-4E45-B0FD-F8E8977941F9}">
  <dimension ref="A1:L11"/>
  <sheetViews>
    <sheetView workbookViewId="0">
      <selection activeCell="J23" sqref="J23"/>
    </sheetView>
  </sheetViews>
  <sheetFormatPr defaultRowHeight="14.4" x14ac:dyDescent="0.3"/>
  <cols>
    <col min="1" max="1" width="11.5546875" customWidth="1"/>
  </cols>
  <sheetData>
    <row r="1" spans="1:12" x14ac:dyDescent="0.3">
      <c r="A1" t="s">
        <v>15</v>
      </c>
    </row>
    <row r="2" spans="1:12" x14ac:dyDescent="0.3">
      <c r="A2" s="36"/>
      <c r="B2" s="62" t="s">
        <v>11</v>
      </c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1:12" ht="15" thickBot="1" x14ac:dyDescent="0.35">
      <c r="A3" s="38" t="s">
        <v>9</v>
      </c>
      <c r="B3" s="39">
        <v>0</v>
      </c>
      <c r="C3" s="40">
        <v>0.5</v>
      </c>
      <c r="D3" s="40">
        <v>1</v>
      </c>
      <c r="E3" s="40">
        <v>1.5</v>
      </c>
      <c r="F3" s="40">
        <v>2</v>
      </c>
      <c r="G3" s="40">
        <v>2.5</v>
      </c>
      <c r="H3" s="40">
        <v>3</v>
      </c>
      <c r="I3" s="40">
        <v>3.5</v>
      </c>
      <c r="J3" s="40">
        <v>4</v>
      </c>
      <c r="K3" s="40">
        <v>4.5</v>
      </c>
      <c r="L3" s="41">
        <v>5</v>
      </c>
    </row>
    <row r="4" spans="1:12" x14ac:dyDescent="0.3">
      <c r="A4" s="42">
        <v>20</v>
      </c>
      <c r="B4" s="37" t="s">
        <v>17</v>
      </c>
      <c r="C4" s="37" t="s">
        <v>17</v>
      </c>
      <c r="D4" s="37" t="s">
        <v>17</v>
      </c>
      <c r="E4" s="37" t="s">
        <v>17</v>
      </c>
      <c r="F4" s="37" t="s">
        <v>17</v>
      </c>
      <c r="G4" s="37" t="s">
        <v>17</v>
      </c>
      <c r="H4" s="37" t="s">
        <v>17</v>
      </c>
      <c r="I4" s="37" t="s">
        <v>17</v>
      </c>
      <c r="J4" s="37" t="s">
        <v>17</v>
      </c>
      <c r="K4" s="37" t="s">
        <v>17</v>
      </c>
      <c r="L4" s="37" t="s">
        <v>17</v>
      </c>
    </row>
    <row r="5" spans="1:12" x14ac:dyDescent="0.3">
      <c r="A5" s="43">
        <v>50</v>
      </c>
      <c r="B5" s="37" t="s">
        <v>17</v>
      </c>
      <c r="C5" s="37" t="s">
        <v>17</v>
      </c>
      <c r="D5" s="37" t="s">
        <v>17</v>
      </c>
      <c r="E5" s="37" t="s">
        <v>17</v>
      </c>
      <c r="F5" s="37" t="s">
        <v>17</v>
      </c>
      <c r="G5" s="37" t="s">
        <v>17</v>
      </c>
      <c r="H5" s="37" t="s">
        <v>17</v>
      </c>
      <c r="I5" s="37" t="s">
        <v>17</v>
      </c>
      <c r="J5" s="37" t="s">
        <v>17</v>
      </c>
      <c r="K5" s="37" t="s">
        <v>17</v>
      </c>
      <c r="L5" s="37" t="s">
        <v>17</v>
      </c>
    </row>
    <row r="6" spans="1:12" x14ac:dyDescent="0.3">
      <c r="A6" s="43">
        <v>100</v>
      </c>
      <c r="B6" s="37" t="s">
        <v>17</v>
      </c>
      <c r="C6" s="37" t="s">
        <v>17</v>
      </c>
      <c r="D6" s="37" t="s">
        <v>17</v>
      </c>
      <c r="E6" s="37" t="s">
        <v>17</v>
      </c>
      <c r="F6" s="37" t="s">
        <v>17</v>
      </c>
      <c r="G6" s="37" t="s">
        <v>17</v>
      </c>
      <c r="H6" s="37" t="s">
        <v>17</v>
      </c>
      <c r="I6" s="37" t="s">
        <v>17</v>
      </c>
      <c r="J6" s="37" t="s">
        <v>17</v>
      </c>
      <c r="K6" s="37" t="s">
        <v>17</v>
      </c>
      <c r="L6" s="37" t="s">
        <v>17</v>
      </c>
    </row>
    <row r="7" spans="1:12" x14ac:dyDescent="0.3">
      <c r="A7" s="43">
        <v>150</v>
      </c>
      <c r="B7" s="37" t="s">
        <v>17</v>
      </c>
      <c r="C7" s="37" t="s">
        <v>17</v>
      </c>
      <c r="D7" s="37" t="s">
        <v>17</v>
      </c>
      <c r="E7" s="37" t="s">
        <v>17</v>
      </c>
      <c r="F7" s="37" t="s">
        <v>17</v>
      </c>
      <c r="G7" s="37" t="s">
        <v>17</v>
      </c>
      <c r="H7" s="37" t="s">
        <v>17</v>
      </c>
      <c r="I7" s="37" t="s">
        <v>17</v>
      </c>
      <c r="J7" s="37" t="s">
        <v>17</v>
      </c>
      <c r="K7" s="37" t="s">
        <v>17</v>
      </c>
      <c r="L7" s="37" t="s">
        <v>17</v>
      </c>
    </row>
    <row r="8" spans="1:12" x14ac:dyDescent="0.3">
      <c r="A8" s="43">
        <v>200</v>
      </c>
      <c r="B8" s="37" t="s">
        <v>17</v>
      </c>
      <c r="C8" s="37" t="s">
        <v>17</v>
      </c>
      <c r="D8" s="37" t="s">
        <v>17</v>
      </c>
      <c r="E8" s="37" t="s">
        <v>17</v>
      </c>
      <c r="F8" s="37" t="s">
        <v>17</v>
      </c>
      <c r="G8" s="37" t="s">
        <v>17</v>
      </c>
      <c r="H8" s="37" t="s">
        <v>17</v>
      </c>
      <c r="I8" s="37" t="s">
        <v>17</v>
      </c>
      <c r="J8" s="37" t="s">
        <v>17</v>
      </c>
      <c r="K8" s="37" t="s">
        <v>17</v>
      </c>
      <c r="L8" s="37" t="s">
        <v>17</v>
      </c>
    </row>
    <row r="9" spans="1:12" x14ac:dyDescent="0.3">
      <c r="A9" s="43">
        <v>250</v>
      </c>
      <c r="B9" s="37" t="s">
        <v>17</v>
      </c>
      <c r="C9" s="37" t="s">
        <v>17</v>
      </c>
      <c r="D9" s="37" t="s">
        <v>17</v>
      </c>
      <c r="E9" s="37" t="s">
        <v>17</v>
      </c>
      <c r="F9" s="37" t="s">
        <v>17</v>
      </c>
      <c r="G9" s="37" t="s">
        <v>17</v>
      </c>
      <c r="H9" s="37" t="s">
        <v>17</v>
      </c>
      <c r="I9" s="37" t="s">
        <v>17</v>
      </c>
      <c r="J9" s="37" t="s">
        <v>17</v>
      </c>
      <c r="K9" s="37" t="s">
        <v>17</v>
      </c>
      <c r="L9" s="37" t="s">
        <v>17</v>
      </c>
    </row>
    <row r="10" spans="1:12" x14ac:dyDescent="0.3">
      <c r="A10" s="43">
        <v>300</v>
      </c>
      <c r="B10" s="37" t="s">
        <v>17</v>
      </c>
      <c r="C10" s="37" t="s">
        <v>17</v>
      </c>
      <c r="D10" s="37" t="s">
        <v>17</v>
      </c>
      <c r="E10" s="37" t="s">
        <v>17</v>
      </c>
      <c r="F10" s="37" t="s">
        <v>17</v>
      </c>
      <c r="G10" s="37" t="s">
        <v>17</v>
      </c>
      <c r="H10" s="37" t="s">
        <v>17</v>
      </c>
      <c r="I10" s="37" t="s">
        <v>17</v>
      </c>
      <c r="J10" s="37" t="s">
        <v>17</v>
      </c>
      <c r="K10" s="37" t="s">
        <v>17</v>
      </c>
      <c r="L10" s="37" t="s">
        <v>17</v>
      </c>
    </row>
    <row r="11" spans="1:12" x14ac:dyDescent="0.3">
      <c r="A11" s="44">
        <v>350</v>
      </c>
      <c r="B11" s="37" t="s">
        <v>17</v>
      </c>
      <c r="C11" s="37" t="s">
        <v>17</v>
      </c>
      <c r="D11" s="37" t="s">
        <v>17</v>
      </c>
      <c r="E11" s="37" t="s">
        <v>17</v>
      </c>
      <c r="F11" s="37" t="s">
        <v>17</v>
      </c>
      <c r="G11" s="37" t="s">
        <v>17</v>
      </c>
      <c r="H11" s="37" t="s">
        <v>17</v>
      </c>
      <c r="I11" s="37" t="s">
        <v>17</v>
      </c>
      <c r="J11" s="37" t="s">
        <v>17</v>
      </c>
      <c r="K11" s="37" t="s">
        <v>17</v>
      </c>
      <c r="L11" s="37" t="s">
        <v>17</v>
      </c>
    </row>
  </sheetData>
  <mergeCells count="1">
    <mergeCell ref="B2:L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AD92A-97ED-46FD-B28E-A85C9172A402}">
  <dimension ref="A1:L11"/>
  <sheetViews>
    <sheetView workbookViewId="0">
      <selection activeCell="K21" sqref="K21"/>
    </sheetView>
  </sheetViews>
  <sheetFormatPr defaultRowHeight="14.4" x14ac:dyDescent="0.3"/>
  <sheetData>
    <row r="1" spans="1:12" x14ac:dyDescent="0.3">
      <c r="A1" t="s">
        <v>14</v>
      </c>
    </row>
    <row r="2" spans="1:12" x14ac:dyDescent="0.3">
      <c r="A2" s="36"/>
      <c r="B2" s="62" t="s">
        <v>10</v>
      </c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1:12" ht="15" thickBot="1" x14ac:dyDescent="0.35">
      <c r="A3" s="38" t="s">
        <v>9</v>
      </c>
      <c r="B3" s="39">
        <v>0</v>
      </c>
      <c r="C3" s="40">
        <v>0.5</v>
      </c>
      <c r="D3" s="40">
        <v>1</v>
      </c>
      <c r="E3" s="40">
        <v>1.5</v>
      </c>
      <c r="F3" s="40">
        <v>2</v>
      </c>
      <c r="G3" s="40">
        <v>2.5</v>
      </c>
      <c r="H3" s="40">
        <v>3</v>
      </c>
      <c r="I3" s="40">
        <v>3.5</v>
      </c>
      <c r="J3" s="40">
        <v>4</v>
      </c>
      <c r="K3" s="40">
        <v>4.5</v>
      </c>
      <c r="L3" s="41">
        <v>5</v>
      </c>
    </row>
    <row r="4" spans="1:12" x14ac:dyDescent="0.3">
      <c r="A4" s="42">
        <v>20</v>
      </c>
      <c r="B4" s="37" t="s">
        <v>17</v>
      </c>
      <c r="C4" s="37" t="s">
        <v>17</v>
      </c>
      <c r="D4" s="37" t="s">
        <v>17</v>
      </c>
      <c r="E4" s="37" t="s">
        <v>17</v>
      </c>
      <c r="F4" s="37" t="s">
        <v>17</v>
      </c>
      <c r="G4" s="37" t="s">
        <v>17</v>
      </c>
      <c r="H4" s="37" t="s">
        <v>17</v>
      </c>
      <c r="I4" s="37" t="s">
        <v>17</v>
      </c>
      <c r="J4" s="37" t="s">
        <v>17</v>
      </c>
      <c r="K4" s="37" t="s">
        <v>17</v>
      </c>
      <c r="L4" s="37" t="s">
        <v>17</v>
      </c>
    </row>
    <row r="5" spans="1:12" x14ac:dyDescent="0.3">
      <c r="A5" s="43">
        <v>50</v>
      </c>
      <c r="B5" s="37" t="s">
        <v>17</v>
      </c>
      <c r="C5" s="37" t="s">
        <v>17</v>
      </c>
      <c r="D5" s="37" t="s">
        <v>17</v>
      </c>
      <c r="E5" s="37" t="s">
        <v>17</v>
      </c>
      <c r="F5" s="37" t="s">
        <v>17</v>
      </c>
      <c r="G5" s="37" t="s">
        <v>17</v>
      </c>
      <c r="H5" s="37" t="s">
        <v>17</v>
      </c>
      <c r="I5" s="37" t="s">
        <v>17</v>
      </c>
      <c r="J5" s="37" t="s">
        <v>17</v>
      </c>
      <c r="K5" s="37" t="s">
        <v>17</v>
      </c>
      <c r="L5" s="37" t="s">
        <v>17</v>
      </c>
    </row>
    <row r="6" spans="1:12" x14ac:dyDescent="0.3">
      <c r="A6" s="43">
        <v>100</v>
      </c>
      <c r="B6" s="37" t="s">
        <v>17</v>
      </c>
      <c r="C6" s="37" t="s">
        <v>17</v>
      </c>
      <c r="D6" s="37" t="s">
        <v>17</v>
      </c>
      <c r="E6" s="37" t="s">
        <v>17</v>
      </c>
      <c r="F6" s="37" t="s">
        <v>17</v>
      </c>
      <c r="G6" s="37" t="s">
        <v>17</v>
      </c>
      <c r="H6" s="37" t="s">
        <v>17</v>
      </c>
      <c r="I6" s="37" t="s">
        <v>17</v>
      </c>
      <c r="J6" s="37" t="s">
        <v>17</v>
      </c>
      <c r="K6" s="37" t="s">
        <v>17</v>
      </c>
      <c r="L6" s="37" t="s">
        <v>17</v>
      </c>
    </row>
    <row r="7" spans="1:12" x14ac:dyDescent="0.3">
      <c r="A7" s="43">
        <v>150</v>
      </c>
      <c r="B7" s="37" t="s">
        <v>17</v>
      </c>
      <c r="C7" s="37" t="s">
        <v>17</v>
      </c>
      <c r="D7" s="37" t="s">
        <v>17</v>
      </c>
      <c r="E7" s="37" t="s">
        <v>17</v>
      </c>
      <c r="F7" s="37" t="s">
        <v>17</v>
      </c>
      <c r="G7" s="37" t="s">
        <v>17</v>
      </c>
      <c r="H7" s="37" t="s">
        <v>17</v>
      </c>
      <c r="I7" s="37" t="s">
        <v>17</v>
      </c>
      <c r="J7" s="37" t="s">
        <v>17</v>
      </c>
      <c r="K7" s="37" t="s">
        <v>17</v>
      </c>
      <c r="L7" s="37" t="s">
        <v>17</v>
      </c>
    </row>
    <row r="8" spans="1:12" x14ac:dyDescent="0.3">
      <c r="A8" s="43">
        <v>200</v>
      </c>
      <c r="B8" s="37" t="s">
        <v>17</v>
      </c>
      <c r="C8" s="37" t="s">
        <v>17</v>
      </c>
      <c r="D8" s="37" t="s">
        <v>17</v>
      </c>
      <c r="E8" s="37" t="s">
        <v>17</v>
      </c>
      <c r="F8" s="37" t="s">
        <v>17</v>
      </c>
      <c r="G8" s="37" t="s">
        <v>17</v>
      </c>
      <c r="H8" s="37" t="s">
        <v>17</v>
      </c>
      <c r="I8" s="37" t="s">
        <v>17</v>
      </c>
      <c r="J8" s="37" t="s">
        <v>17</v>
      </c>
      <c r="K8" s="37" t="s">
        <v>17</v>
      </c>
      <c r="L8" s="37" t="s">
        <v>17</v>
      </c>
    </row>
    <row r="9" spans="1:12" x14ac:dyDescent="0.3">
      <c r="A9" s="43">
        <v>250</v>
      </c>
      <c r="B9" s="37" t="s">
        <v>17</v>
      </c>
      <c r="C9" s="37" t="s">
        <v>17</v>
      </c>
      <c r="D9" s="37" t="s">
        <v>17</v>
      </c>
      <c r="E9" s="37" t="s">
        <v>17</v>
      </c>
      <c r="F9" s="37" t="s">
        <v>17</v>
      </c>
      <c r="G9" s="37" t="s">
        <v>17</v>
      </c>
      <c r="H9" s="37" t="s">
        <v>17</v>
      </c>
      <c r="I9" s="37" t="s">
        <v>17</v>
      </c>
      <c r="J9" s="37" t="s">
        <v>17</v>
      </c>
      <c r="K9" s="37" t="s">
        <v>17</v>
      </c>
      <c r="L9" s="37" t="s">
        <v>17</v>
      </c>
    </row>
    <row r="10" spans="1:12" x14ac:dyDescent="0.3">
      <c r="A10" s="43">
        <v>300</v>
      </c>
      <c r="B10" s="37" t="s">
        <v>17</v>
      </c>
      <c r="C10" s="37" t="s">
        <v>17</v>
      </c>
      <c r="D10" s="37" t="s">
        <v>17</v>
      </c>
      <c r="E10" s="37" t="s">
        <v>17</v>
      </c>
      <c r="F10" s="37" t="s">
        <v>17</v>
      </c>
      <c r="G10" s="37" t="s">
        <v>17</v>
      </c>
      <c r="H10" s="37" t="s">
        <v>17</v>
      </c>
      <c r="I10" s="37" t="s">
        <v>17</v>
      </c>
      <c r="J10" s="37" t="s">
        <v>17</v>
      </c>
      <c r="K10" s="37" t="s">
        <v>17</v>
      </c>
      <c r="L10" s="37" t="s">
        <v>17</v>
      </c>
    </row>
    <row r="11" spans="1:12" x14ac:dyDescent="0.3">
      <c r="A11" s="44">
        <v>350</v>
      </c>
      <c r="B11" s="37" t="s">
        <v>17</v>
      </c>
      <c r="C11" s="37" t="s">
        <v>17</v>
      </c>
      <c r="D11" s="37" t="s">
        <v>17</v>
      </c>
      <c r="E11" s="37" t="s">
        <v>17</v>
      </c>
      <c r="F11" s="37" t="s">
        <v>17</v>
      </c>
      <c r="G11" s="37" t="s">
        <v>17</v>
      </c>
      <c r="H11" s="37" t="s">
        <v>17</v>
      </c>
      <c r="I11" s="37" t="s">
        <v>17</v>
      </c>
      <c r="J11" s="37" t="s">
        <v>17</v>
      </c>
      <c r="K11" s="37" t="s">
        <v>17</v>
      </c>
      <c r="L11" s="37" t="s">
        <v>17</v>
      </c>
    </row>
  </sheetData>
  <mergeCells count="1">
    <mergeCell ref="B2:L2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"/>
  <sheetViews>
    <sheetView tabSelected="1" workbookViewId="0">
      <selection activeCell="E16" sqref="E16"/>
    </sheetView>
  </sheetViews>
  <sheetFormatPr defaultColWidth="8.88671875" defaultRowHeight="14.4" x14ac:dyDescent="0.3"/>
  <cols>
    <col min="1" max="2" width="16.6640625" style="2" customWidth="1"/>
    <col min="3" max="16384" width="8.88671875" style="2"/>
  </cols>
  <sheetData>
    <row r="1" spans="1:16" ht="15" thickBot="1" x14ac:dyDescent="0.35">
      <c r="A1" s="8" t="s">
        <v>22</v>
      </c>
      <c r="B1" s="8"/>
      <c r="C1" s="72" t="s">
        <v>4</v>
      </c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15" thickBot="1" x14ac:dyDescent="0.35">
      <c r="A2" s="9" t="s">
        <v>0</v>
      </c>
      <c r="B2" s="76">
        <v>1000000</v>
      </c>
      <c r="C2" s="10">
        <v>1200000000</v>
      </c>
      <c r="D2" s="11">
        <v>1300000000</v>
      </c>
      <c r="E2" s="12">
        <v>1400000000</v>
      </c>
      <c r="F2" s="11">
        <v>1500000000</v>
      </c>
      <c r="G2" s="11">
        <v>1600000000</v>
      </c>
      <c r="H2" s="12">
        <v>1700000000</v>
      </c>
      <c r="I2" s="11">
        <v>1800000000</v>
      </c>
      <c r="J2" s="11">
        <v>1900000000</v>
      </c>
      <c r="K2" s="12">
        <v>2000000000</v>
      </c>
      <c r="L2" s="11">
        <v>2100000000</v>
      </c>
      <c r="M2" s="11">
        <v>2200000000</v>
      </c>
      <c r="N2" s="12">
        <v>2300000000</v>
      </c>
      <c r="O2" s="11">
        <v>2400000000</v>
      </c>
      <c r="P2" s="11">
        <v>2500000000</v>
      </c>
    </row>
    <row r="3" spans="1:16" x14ac:dyDescent="0.3">
      <c r="A3" s="13">
        <v>20</v>
      </c>
      <c r="B3" s="78">
        <v>1</v>
      </c>
      <c r="C3" s="14">
        <v>1</v>
      </c>
      <c r="D3" s="14">
        <v>1</v>
      </c>
      <c r="E3" s="14">
        <v>1</v>
      </c>
      <c r="F3" s="14">
        <v>1</v>
      </c>
      <c r="G3" s="14">
        <v>1.01</v>
      </c>
      <c r="H3" s="14">
        <v>1.01</v>
      </c>
      <c r="I3" s="14">
        <v>1.01</v>
      </c>
      <c r="J3" s="14">
        <v>1.02</v>
      </c>
      <c r="K3" s="14">
        <v>1.02</v>
      </c>
      <c r="L3" s="14">
        <v>1.03</v>
      </c>
      <c r="M3" s="14">
        <v>1.04</v>
      </c>
      <c r="N3" s="14">
        <v>1.05</v>
      </c>
      <c r="O3" s="14">
        <v>1.06</v>
      </c>
      <c r="P3" s="14">
        <v>1.08</v>
      </c>
    </row>
    <row r="4" spans="1:16" ht="15" thickBot="1" x14ac:dyDescent="0.35">
      <c r="A4" s="15">
        <v>600</v>
      </c>
      <c r="B4" s="79">
        <v>1</v>
      </c>
      <c r="C4" s="14">
        <v>1</v>
      </c>
      <c r="D4" s="14">
        <v>1</v>
      </c>
      <c r="E4" s="14">
        <v>1</v>
      </c>
      <c r="F4" s="14">
        <v>1</v>
      </c>
      <c r="G4" s="14">
        <v>1.01</v>
      </c>
      <c r="H4" s="14">
        <v>1.01</v>
      </c>
      <c r="I4" s="14">
        <v>1.01</v>
      </c>
      <c r="J4" s="14">
        <v>1.02</v>
      </c>
      <c r="K4" s="14">
        <v>1.02</v>
      </c>
      <c r="L4" s="14">
        <v>1.03</v>
      </c>
      <c r="M4" s="14">
        <v>1.04</v>
      </c>
      <c r="N4" s="14">
        <v>1.05</v>
      </c>
      <c r="O4" s="14">
        <v>1.06</v>
      </c>
      <c r="P4" s="14">
        <v>1.08</v>
      </c>
    </row>
  </sheetData>
  <mergeCells count="1">
    <mergeCell ref="C1:P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"/>
  <sheetViews>
    <sheetView workbookViewId="0">
      <selection activeCell="H16" sqref="H16"/>
    </sheetView>
  </sheetViews>
  <sheetFormatPr defaultColWidth="8.88671875" defaultRowHeight="14.4" x14ac:dyDescent="0.3"/>
  <cols>
    <col min="1" max="16384" width="8.88671875" style="2"/>
  </cols>
  <sheetData>
    <row r="1" spans="1:16" ht="15" thickBot="1" x14ac:dyDescent="0.35">
      <c r="A1" s="8" t="s">
        <v>5</v>
      </c>
      <c r="B1" s="8"/>
      <c r="C1" s="74" t="s">
        <v>4</v>
      </c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</row>
    <row r="2" spans="1:16" ht="15" thickBot="1" x14ac:dyDescent="0.35">
      <c r="A2" s="9" t="s">
        <v>0</v>
      </c>
      <c r="B2" s="76">
        <v>1000000</v>
      </c>
      <c r="C2" s="10">
        <v>1200000000</v>
      </c>
      <c r="D2" s="11">
        <v>1300000000</v>
      </c>
      <c r="E2" s="12">
        <v>1400000000</v>
      </c>
      <c r="F2" s="11">
        <v>1500000000</v>
      </c>
      <c r="G2" s="11">
        <v>1600000000</v>
      </c>
      <c r="H2" s="12">
        <v>1700000000</v>
      </c>
      <c r="I2" s="11">
        <v>1800000000</v>
      </c>
      <c r="J2" s="11">
        <v>1900000000</v>
      </c>
      <c r="K2" s="12">
        <v>2000000000</v>
      </c>
      <c r="L2" s="11">
        <v>2100000000</v>
      </c>
      <c r="M2" s="11">
        <v>2200000000</v>
      </c>
      <c r="N2" s="12">
        <v>2300000000</v>
      </c>
      <c r="O2" s="11">
        <v>2400000000</v>
      </c>
      <c r="P2" s="11">
        <v>2500000000</v>
      </c>
    </row>
    <row r="3" spans="1:16" x14ac:dyDescent="0.3">
      <c r="A3" s="13">
        <v>20</v>
      </c>
      <c r="B3" s="77">
        <v>1</v>
      </c>
      <c r="C3" s="16">
        <v>1</v>
      </c>
      <c r="D3" s="16">
        <v>1</v>
      </c>
      <c r="E3" s="16">
        <v>1</v>
      </c>
      <c r="F3" s="16">
        <v>1</v>
      </c>
      <c r="G3" s="16">
        <v>1</v>
      </c>
      <c r="H3" s="16">
        <v>1.01</v>
      </c>
      <c r="I3" s="16">
        <v>1.01</v>
      </c>
      <c r="J3" s="16">
        <v>1.01</v>
      </c>
      <c r="K3" s="16">
        <v>1.02</v>
      </c>
      <c r="L3" s="16">
        <v>1.02</v>
      </c>
      <c r="M3" s="16">
        <v>1.03</v>
      </c>
      <c r="N3" s="16">
        <v>1.04</v>
      </c>
      <c r="O3" s="16">
        <v>1.04</v>
      </c>
      <c r="P3" s="16">
        <v>1.05</v>
      </c>
    </row>
    <row r="4" spans="1:16" x14ac:dyDescent="0.3">
      <c r="A4" s="17">
        <v>600</v>
      </c>
      <c r="B4" s="77">
        <v>1</v>
      </c>
      <c r="C4" s="16">
        <v>1</v>
      </c>
      <c r="D4" s="16">
        <v>1</v>
      </c>
      <c r="E4" s="16">
        <v>1</v>
      </c>
      <c r="F4" s="16">
        <v>1</v>
      </c>
      <c r="G4" s="16">
        <v>1</v>
      </c>
      <c r="H4" s="16">
        <v>1.01</v>
      </c>
      <c r="I4" s="16">
        <v>1.01</v>
      </c>
      <c r="J4" s="16">
        <v>1.01</v>
      </c>
      <c r="K4" s="16">
        <v>1.02</v>
      </c>
      <c r="L4" s="16">
        <v>1.02</v>
      </c>
      <c r="M4" s="16">
        <v>1.03</v>
      </c>
      <c r="N4" s="16">
        <v>1.04</v>
      </c>
      <c r="O4" s="16">
        <v>1.04</v>
      </c>
      <c r="P4" s="16">
        <v>1.05</v>
      </c>
    </row>
  </sheetData>
  <mergeCells count="1">
    <mergeCell ref="C1:P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>
      <selection activeCell="G21" sqref="G20:G21"/>
    </sheetView>
  </sheetViews>
  <sheetFormatPr defaultColWidth="8.88671875" defaultRowHeight="14.4" x14ac:dyDescent="0.3"/>
  <cols>
    <col min="1" max="2" width="12.33203125" style="2" customWidth="1"/>
    <col min="3" max="16384" width="8.88671875" style="2"/>
  </cols>
  <sheetData>
    <row r="1" spans="1:3" ht="15" thickBot="1" x14ac:dyDescent="0.35">
      <c r="A1" s="18" t="s">
        <v>0</v>
      </c>
      <c r="B1" s="19" t="s">
        <v>6</v>
      </c>
      <c r="C1" s="19" t="s">
        <v>7</v>
      </c>
    </row>
    <row r="2" spans="1:3" x14ac:dyDescent="0.3">
      <c r="A2" s="20">
        <v>20</v>
      </c>
      <c r="B2" s="61">
        <v>2917000000</v>
      </c>
      <c r="C2" s="21">
        <v>0.122</v>
      </c>
    </row>
    <row r="3" spans="1:3" x14ac:dyDescent="0.3">
      <c r="A3" s="22">
        <v>600</v>
      </c>
      <c r="B3" s="61">
        <v>2917000000</v>
      </c>
      <c r="C3" s="21">
        <v>0.122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>
      <selection activeCell="I33" sqref="I33"/>
    </sheetView>
  </sheetViews>
  <sheetFormatPr defaultColWidth="8.88671875" defaultRowHeight="14.4" x14ac:dyDescent="0.3"/>
  <cols>
    <col min="1" max="1" width="13.5546875" style="1" customWidth="1"/>
    <col min="2" max="16384" width="8.88671875" style="1"/>
  </cols>
  <sheetData>
    <row r="1" spans="1:1" x14ac:dyDescent="0.3">
      <c r="A1" s="35" t="s">
        <v>8</v>
      </c>
    </row>
    <row r="2" spans="1:1" x14ac:dyDescent="0.3">
      <c r="A2" s="1">
        <v>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4C9385-3AC8-47DE-AFE0-2EB8CD8856F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EB181C-B032-4B55-8488-B934A42A52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1B889C-8F90-4794-ABB2-12F646B3060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Sd_nopeak</vt:lpstr>
      <vt:lpstr>Young Modulus</vt:lpstr>
      <vt:lpstr>Fatigue Curves</vt:lpstr>
      <vt:lpstr>Sm</vt:lpstr>
      <vt:lpstr>Keff_rec</vt:lpstr>
      <vt:lpstr>Sy_min</vt:lpstr>
      <vt:lpstr>Su_min</vt:lpstr>
      <vt:lpstr>Sd</vt:lpstr>
      <vt:lpstr>Se</vt:lpstr>
      <vt:lpstr>Keps</vt:lpstr>
      <vt:lpstr>Kmu</vt:lpstr>
      <vt:lpstr>K-m</vt:lpstr>
      <vt:lpstr>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Laghi</dc:creator>
  <cp:lastModifiedBy>Davide Laghi</cp:lastModifiedBy>
  <dcterms:created xsi:type="dcterms:W3CDTF">2020-03-06T09:01:04Z</dcterms:created>
  <dcterms:modified xsi:type="dcterms:W3CDTF">2022-11-29T10:57:54Z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