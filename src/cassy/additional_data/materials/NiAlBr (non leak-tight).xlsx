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laghi\Documents\GitHub\StressAssessment\src\additional_data\materials\"/>
    </mc:Choice>
  </mc:AlternateContent>
  <xr:revisionPtr revIDLastSave="0" documentId="13_ncr:1_{91B60092-83F0-4E62-938C-71B40FB56C3D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Sd" sheetId="13" r:id="rId1"/>
    <sheet name="Sd_nopeak" sheetId="11" r:id="rId2"/>
    <sheet name="Young Modulus" sheetId="1" r:id="rId3"/>
    <sheet name="Fatigue Curves" sheetId="2" r:id="rId4"/>
    <sheet name="Sm" sheetId="7" r:id="rId5"/>
    <sheet name="Keff_rec" sheetId="8" r:id="rId6"/>
    <sheet name="Sy_min" sheetId="9" r:id="rId7"/>
    <sheet name="Su_min" sheetId="10" r:id="rId8"/>
    <sheet name="Se" sheetId="12" r:id="rId9"/>
    <sheet name="Keps" sheetId="3" r:id="rId10"/>
    <sheet name="Kmu" sheetId="4" r:id="rId11"/>
    <sheet name="K-m" sheetId="5" r:id="rId12"/>
    <sheet name="Nu" sheetId="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10" l="1"/>
  <c r="C11" i="10"/>
  <c r="C9" i="10"/>
  <c r="C8" i="10"/>
  <c r="C12" i="9"/>
  <c r="C11" i="9"/>
  <c r="C9" i="9"/>
  <c r="C8" i="9"/>
  <c r="C10" i="10" l="1"/>
  <c r="C7" i="10"/>
  <c r="C6" i="10"/>
  <c r="C5" i="10"/>
  <c r="C4" i="10"/>
  <c r="C5" i="9"/>
  <c r="C6" i="9"/>
  <c r="C4" i="9"/>
  <c r="C10" i="9"/>
  <c r="C7" i="9"/>
  <c r="C1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Davide Laghi</author>
  </authors>
  <commentList>
    <comment ref="A1" authorId="0" shapeId="0" xr:uid="{F66F482D-83BB-4F2B-A972-187B40107A06}">
      <text>
        <r>
          <rPr>
            <b/>
            <sz val="9"/>
            <color indexed="81"/>
            <rFont val="Tahoma"/>
            <family val="2"/>
          </rPr>
          <t>Davide Laghi:</t>
        </r>
        <r>
          <rPr>
            <sz val="9"/>
            <color indexed="81"/>
            <rFont val="Tahoma"/>
            <family val="2"/>
          </rPr>
          <t xml:space="preserve">
for forging</t>
        </r>
      </text>
    </comment>
  </commentList>
</comments>
</file>

<file path=xl/sharedStrings.xml><?xml version="1.0" encoding="utf-8"?>
<sst xmlns="http://schemas.openxmlformats.org/spreadsheetml/2006/main" count="38" uniqueCount="21">
  <si>
    <t>T</t>
  </si>
  <si>
    <t>E [GPa]</t>
  </si>
  <si>
    <t>Ref:</t>
  </si>
  <si>
    <t>Ncycles</t>
  </si>
  <si>
    <t>to use also for irradiated materials up to 10 dpa and below 400°C</t>
  </si>
  <si>
    <t>Dstot</t>
  </si>
  <si>
    <t>K mu</t>
  </si>
  <si>
    <t>K eps</t>
  </si>
  <si>
    <t>K</t>
  </si>
  <si>
    <t>m</t>
  </si>
  <si>
    <t>Poisson ratio</t>
  </si>
  <si>
    <t>T [°C]</t>
  </si>
  <si>
    <t>DPA</t>
  </si>
  <si>
    <t>dpa</t>
  </si>
  <si>
    <t>Su, min [Mpa]</t>
  </si>
  <si>
    <t>Sy,min [MPa]</t>
  </si>
  <si>
    <t>Se, irr [MPa]</t>
  </si>
  <si>
    <t>Sd, irr [Mpa]</t>
  </si>
  <si>
    <t>A.S02.5.6</t>
  </si>
  <si>
    <r>
      <t>S</t>
    </r>
    <r>
      <rPr>
        <b/>
        <vertAlign val="subscript"/>
        <sz val="10"/>
        <color theme="1"/>
        <rFont val="Arial"/>
        <family val="2"/>
      </rPr>
      <t>m</t>
    </r>
    <r>
      <rPr>
        <b/>
        <sz val="10"/>
        <color theme="1"/>
        <rFont val="Arial"/>
        <family val="2"/>
      </rPr>
      <t xml:space="preserve"> [MPa]</t>
    </r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</si>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</sst>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color indexed="11"/>
      <name val="Arial"/>
      <family val="2"/>
    </font>
    <font>
      <b/>
      <sz val="10"/>
      <name val="Symbol"/>
      <family val="1"/>
      <charset val="2"/>
    </font>
    <font>
      <b/>
      <sz val="10"/>
      <name val="Arial"/>
      <family val="2"/>
    </font>
    <font>
      <b/>
      <sz val="10"/>
      <color indexed="11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1" fontId="5" fillId="2" borderId="14" xfId="0" applyNumberFormat="1" applyFont="1" applyFill="1" applyBorder="1" applyAlignment="1">
      <alignment horizontal="center" vertical="center"/>
    </xf>
    <xf numFmtId="11" fontId="5" fillId="2" borderId="15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3" borderId="16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11" fontId="5" fillId="4" borderId="0" xfId="0" applyNumberFormat="1" applyFont="1" applyFill="1" applyBorder="1" applyAlignment="1">
      <alignment horizontal="center" vertical="center"/>
    </xf>
    <xf numFmtId="0" fontId="3" fillId="4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Border="1" applyAlignment="1" applyProtection="1">
      <alignment horizontal="center" vertical="center"/>
      <protection locked="0"/>
    </xf>
    <xf numFmtId="0" fontId="2" fillId="4" borderId="1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6" fillId="4" borderId="16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Protection="1">
      <protection locked="0"/>
    </xf>
    <xf numFmtId="0" fontId="7" fillId="4" borderId="19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4" borderId="27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164" fontId="8" fillId="5" borderId="23" xfId="0" applyNumberFormat="1" applyFont="1" applyFill="1" applyBorder="1" applyAlignment="1">
      <alignment horizontal="center" vertical="center"/>
    </xf>
    <xf numFmtId="164" fontId="8" fillId="5" borderId="24" xfId="0" applyNumberFormat="1" applyFont="1" applyFill="1" applyBorder="1" applyAlignment="1">
      <alignment horizontal="center" vertical="center"/>
    </xf>
    <xf numFmtId="164" fontId="8" fillId="5" borderId="25" xfId="0" applyNumberFormat="1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1" fontId="7" fillId="4" borderId="32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1" fontId="0" fillId="4" borderId="0" xfId="0" applyNumberFormat="1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" fontId="7" fillId="4" borderId="28" xfId="0" applyNumberFormat="1" applyFont="1" applyFill="1" applyBorder="1" applyAlignment="1">
      <alignment horizontal="center" vertical="center"/>
    </xf>
    <xf numFmtId="1" fontId="7" fillId="4" borderId="33" xfId="0" applyNumberFormat="1" applyFont="1" applyFill="1" applyBorder="1" applyAlignment="1">
      <alignment horizontal="center" vertical="center"/>
    </xf>
    <xf numFmtId="0" fontId="7" fillId="5" borderId="34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4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1" fillId="6" borderId="8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CF20-731F-4527-9E4C-939643E2D118}">
  <dimension ref="A1:L11"/>
  <sheetViews>
    <sheetView workbookViewId="0">
      <selection activeCell="E19" sqref="E19"/>
    </sheetView>
  </sheetViews>
  <sheetFormatPr defaultRowHeight="14.4" x14ac:dyDescent="0.3"/>
  <cols>
    <col min="1" max="1" width="11.5546875" customWidth="1"/>
  </cols>
  <sheetData>
    <row r="1" spans="1:12" x14ac:dyDescent="0.3">
      <c r="A1" t="s">
        <v>17</v>
      </c>
    </row>
    <row r="2" spans="1:12" x14ac:dyDescent="0.3">
      <c r="A2" s="36"/>
      <c r="B2" s="65" t="s">
        <v>13</v>
      </c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15" thickBot="1" x14ac:dyDescent="0.35">
      <c r="A3" s="39" t="s">
        <v>11</v>
      </c>
      <c r="B3" s="40">
        <v>0</v>
      </c>
      <c r="C3" s="41">
        <v>0.5</v>
      </c>
      <c r="D3" s="41">
        <v>1</v>
      </c>
      <c r="E3" s="41">
        <v>1.5</v>
      </c>
      <c r="F3" s="41">
        <v>2</v>
      </c>
      <c r="G3" s="41">
        <v>2.5</v>
      </c>
      <c r="H3" s="41">
        <v>3</v>
      </c>
      <c r="I3" s="41">
        <v>3.5</v>
      </c>
      <c r="J3" s="41">
        <v>4</v>
      </c>
      <c r="K3" s="41">
        <v>4.5</v>
      </c>
      <c r="L3" s="42">
        <v>5</v>
      </c>
    </row>
    <row r="4" spans="1:12" x14ac:dyDescent="0.3">
      <c r="A4" s="43">
        <v>20</v>
      </c>
      <c r="B4" s="38">
        <v>0</v>
      </c>
      <c r="C4" s="38">
        <v>0</v>
      </c>
      <c r="D4" s="38">
        <v>0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</row>
    <row r="5" spans="1:12" x14ac:dyDescent="0.3">
      <c r="A5" s="44">
        <v>50</v>
      </c>
      <c r="B5" s="38">
        <v>0</v>
      </c>
      <c r="C5" s="38">
        <v>0</v>
      </c>
      <c r="D5" s="38">
        <v>0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38">
        <v>0</v>
      </c>
      <c r="K5" s="38">
        <v>0</v>
      </c>
      <c r="L5" s="38">
        <v>0</v>
      </c>
    </row>
    <row r="6" spans="1:12" x14ac:dyDescent="0.3">
      <c r="A6" s="44">
        <v>100</v>
      </c>
      <c r="B6" s="38">
        <v>0</v>
      </c>
      <c r="C6" s="38">
        <v>0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8">
        <v>0</v>
      </c>
      <c r="K6" s="38">
        <v>0</v>
      </c>
      <c r="L6" s="38">
        <v>0</v>
      </c>
    </row>
    <row r="7" spans="1:12" x14ac:dyDescent="0.3">
      <c r="A7" s="44">
        <v>150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</row>
    <row r="8" spans="1:12" x14ac:dyDescent="0.3">
      <c r="A8" s="44">
        <v>200</v>
      </c>
      <c r="B8" s="38">
        <v>0</v>
      </c>
      <c r="C8" s="38">
        <v>0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</row>
    <row r="9" spans="1:12" x14ac:dyDescent="0.3">
      <c r="A9" s="44">
        <v>250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</row>
    <row r="10" spans="1:12" x14ac:dyDescent="0.3">
      <c r="A10" s="44">
        <v>300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</row>
    <row r="11" spans="1:12" x14ac:dyDescent="0.3">
      <c r="A11" s="45">
        <v>350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</row>
  </sheetData>
  <mergeCells count="1"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757A-8ADF-4E45-B0FD-F8E8977941F9}">
  <dimension ref="A1:L11"/>
  <sheetViews>
    <sheetView workbookViewId="0">
      <selection activeCell="G7" sqref="G7"/>
    </sheetView>
  </sheetViews>
  <sheetFormatPr defaultRowHeight="14.4" x14ac:dyDescent="0.3"/>
  <cols>
    <col min="1" max="1" width="11.5546875" customWidth="1"/>
  </cols>
  <sheetData>
    <row r="1" spans="1:12" x14ac:dyDescent="0.3">
      <c r="A1" t="s">
        <v>17</v>
      </c>
    </row>
    <row r="2" spans="1:12" x14ac:dyDescent="0.3">
      <c r="A2" s="36"/>
      <c r="B2" s="65" t="s">
        <v>13</v>
      </c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15" thickBot="1" x14ac:dyDescent="0.35">
      <c r="A3" s="39" t="s">
        <v>11</v>
      </c>
      <c r="B3" s="40">
        <v>0</v>
      </c>
      <c r="C3" s="41">
        <v>0.5</v>
      </c>
      <c r="D3" s="41">
        <v>1</v>
      </c>
      <c r="E3" s="41">
        <v>1.5</v>
      </c>
      <c r="F3" s="41">
        <v>2</v>
      </c>
      <c r="G3" s="41">
        <v>2.5</v>
      </c>
      <c r="H3" s="41">
        <v>3</v>
      </c>
      <c r="I3" s="41">
        <v>3.5</v>
      </c>
      <c r="J3" s="41">
        <v>4</v>
      </c>
      <c r="K3" s="41">
        <v>4.5</v>
      </c>
      <c r="L3" s="42">
        <v>5</v>
      </c>
    </row>
    <row r="4" spans="1:12" x14ac:dyDescent="0.3">
      <c r="A4" s="43">
        <v>20</v>
      </c>
      <c r="B4" s="38">
        <v>0</v>
      </c>
      <c r="C4" s="38">
        <v>0</v>
      </c>
      <c r="D4" s="38">
        <v>0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</row>
    <row r="5" spans="1:12" x14ac:dyDescent="0.3">
      <c r="A5" s="44">
        <v>50</v>
      </c>
      <c r="B5" s="38">
        <v>0</v>
      </c>
      <c r="C5" s="38">
        <v>0</v>
      </c>
      <c r="D5" s="38">
        <v>0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38">
        <v>0</v>
      </c>
      <c r="K5" s="38">
        <v>0</v>
      </c>
      <c r="L5" s="38">
        <v>0</v>
      </c>
    </row>
    <row r="6" spans="1:12" x14ac:dyDescent="0.3">
      <c r="A6" s="44">
        <v>100</v>
      </c>
      <c r="B6" s="38">
        <v>0</v>
      </c>
      <c r="C6" s="38">
        <v>0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8">
        <v>0</v>
      </c>
      <c r="K6" s="38">
        <v>0</v>
      </c>
      <c r="L6" s="38">
        <v>0</v>
      </c>
    </row>
    <row r="7" spans="1:12" x14ac:dyDescent="0.3">
      <c r="A7" s="44">
        <v>150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</row>
    <row r="8" spans="1:12" x14ac:dyDescent="0.3">
      <c r="A8" s="44">
        <v>200</v>
      </c>
      <c r="B8" s="38">
        <v>0</v>
      </c>
      <c r="C8" s="38">
        <v>0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</row>
    <row r="9" spans="1:12" x14ac:dyDescent="0.3">
      <c r="A9" s="44">
        <v>250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</row>
    <row r="10" spans="1:12" x14ac:dyDescent="0.3">
      <c r="A10" s="44">
        <v>300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</row>
    <row r="11" spans="1:12" x14ac:dyDescent="0.3">
      <c r="A11" s="45">
        <v>350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</row>
  </sheetData>
  <mergeCells count="1">
    <mergeCell ref="B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C12" sqref="C12:C13"/>
    </sheetView>
  </sheetViews>
  <sheetFormatPr defaultColWidth="8.88671875" defaultRowHeight="14.4" x14ac:dyDescent="0.3"/>
  <cols>
    <col min="1" max="1" width="10" style="2" bestFit="1" customWidth="1"/>
    <col min="2" max="2" width="9" style="2" bestFit="1" customWidth="1"/>
    <col min="3" max="6" width="8.88671875" style="2"/>
    <col min="7" max="7" width="24.109375" style="2" customWidth="1"/>
    <col min="8" max="16384" width="8.88671875" style="2"/>
  </cols>
  <sheetData>
    <row r="1" spans="1:2" x14ac:dyDescent="0.3">
      <c r="A1" s="3" t="s">
        <v>0</v>
      </c>
      <c r="B1" s="3" t="s">
        <v>1</v>
      </c>
    </row>
    <row r="2" spans="1:2" x14ac:dyDescent="0.3">
      <c r="A2" s="53">
        <v>-300</v>
      </c>
      <c r="B2" s="53">
        <v>124</v>
      </c>
    </row>
    <row r="3" spans="1:2" x14ac:dyDescent="0.3">
      <c r="A3" s="60">
        <v>20</v>
      </c>
      <c r="B3" s="60">
        <v>124</v>
      </c>
    </row>
    <row r="4" spans="1:2" x14ac:dyDescent="0.3">
      <c r="A4" s="60">
        <v>50</v>
      </c>
      <c r="B4" s="60">
        <v>124</v>
      </c>
    </row>
    <row r="5" spans="1:2" x14ac:dyDescent="0.3">
      <c r="A5" s="60">
        <v>100</v>
      </c>
      <c r="B5" s="60">
        <v>123</v>
      </c>
    </row>
    <row r="6" spans="1:2" x14ac:dyDescent="0.3">
      <c r="A6" s="60">
        <v>150</v>
      </c>
      <c r="B6" s="60">
        <v>121</v>
      </c>
    </row>
    <row r="7" spans="1:2" x14ac:dyDescent="0.3">
      <c r="A7" s="60">
        <v>200</v>
      </c>
      <c r="B7" s="60">
        <v>117</v>
      </c>
    </row>
    <row r="8" spans="1:2" x14ac:dyDescent="0.3">
      <c r="A8" s="60">
        <v>250</v>
      </c>
      <c r="B8" s="60">
        <v>111</v>
      </c>
    </row>
    <row r="9" spans="1:2" x14ac:dyDescent="0.3">
      <c r="A9" s="60">
        <v>300</v>
      </c>
      <c r="B9" s="60">
        <v>104</v>
      </c>
    </row>
    <row r="10" spans="1:2" x14ac:dyDescent="0.3">
      <c r="A10" s="60">
        <v>350</v>
      </c>
      <c r="B10" s="60">
        <v>96</v>
      </c>
    </row>
    <row r="11" spans="1:2" x14ac:dyDescent="0.3">
      <c r="A11" s="54">
        <v>100000</v>
      </c>
      <c r="B11" s="53">
        <v>96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abSelected="1" topLeftCell="A3" workbookViewId="0">
      <selection activeCell="C5" sqref="C5:C26"/>
    </sheetView>
  </sheetViews>
  <sheetFormatPr defaultColWidth="8.88671875" defaultRowHeight="14.4" x14ac:dyDescent="0.3"/>
  <cols>
    <col min="1" max="16384" width="8.88671875" style="1"/>
  </cols>
  <sheetData>
    <row r="1" spans="1:3" x14ac:dyDescent="0.3">
      <c r="A1" s="1" t="s">
        <v>2</v>
      </c>
      <c r="B1" s="1" t="s">
        <v>18</v>
      </c>
    </row>
    <row r="2" spans="1:3" ht="43.95" customHeight="1" thickBot="1" x14ac:dyDescent="0.35">
      <c r="A2" s="68" t="s">
        <v>4</v>
      </c>
      <c r="B2" s="68"/>
      <c r="C2" s="68"/>
    </row>
    <row r="3" spans="1:3" ht="15" thickBot="1" x14ac:dyDescent="0.35">
      <c r="A3" s="4" t="s">
        <v>20</v>
      </c>
      <c r="B3" s="66" t="s">
        <v>0</v>
      </c>
      <c r="C3" s="67"/>
    </row>
    <row r="4" spans="1:3" ht="15" thickBot="1" x14ac:dyDescent="0.35">
      <c r="A4" s="7" t="s">
        <v>3</v>
      </c>
      <c r="B4" s="5">
        <v>20</v>
      </c>
      <c r="C4" s="6">
        <v>450</v>
      </c>
    </row>
    <row r="5" spans="1:3" x14ac:dyDescent="0.3">
      <c r="A5" s="19">
        <v>1</v>
      </c>
      <c r="B5" s="20">
        <v>1</v>
      </c>
      <c r="C5" s="21">
        <v>1</v>
      </c>
    </row>
    <row r="6" spans="1:3" x14ac:dyDescent="0.3">
      <c r="A6" s="19">
        <v>2</v>
      </c>
      <c r="B6" s="20">
        <v>2</v>
      </c>
      <c r="C6" s="21">
        <v>2</v>
      </c>
    </row>
    <row r="7" spans="1:3" x14ac:dyDescent="0.3">
      <c r="A7" s="19">
        <v>3</v>
      </c>
      <c r="B7" s="20">
        <v>3</v>
      </c>
      <c r="C7" s="21">
        <v>3</v>
      </c>
    </row>
    <row r="8" spans="1:3" x14ac:dyDescent="0.3">
      <c r="A8" s="19">
        <v>4</v>
      </c>
      <c r="B8" s="20">
        <v>4</v>
      </c>
      <c r="C8" s="21">
        <v>4</v>
      </c>
    </row>
    <row r="9" spans="1:3" x14ac:dyDescent="0.3">
      <c r="A9" s="19">
        <v>5</v>
      </c>
      <c r="B9" s="20">
        <v>5</v>
      </c>
      <c r="C9" s="21">
        <v>5</v>
      </c>
    </row>
    <row r="10" spans="1:3" x14ac:dyDescent="0.3">
      <c r="A10" s="19">
        <v>6</v>
      </c>
      <c r="B10" s="20">
        <v>6</v>
      </c>
      <c r="C10" s="21">
        <v>6</v>
      </c>
    </row>
    <row r="11" spans="1:3" x14ac:dyDescent="0.3">
      <c r="A11" s="19">
        <v>7</v>
      </c>
      <c r="B11" s="20">
        <v>7</v>
      </c>
      <c r="C11" s="21">
        <v>7</v>
      </c>
    </row>
    <row r="12" spans="1:3" x14ac:dyDescent="0.3">
      <c r="A12" s="19">
        <v>8</v>
      </c>
      <c r="B12" s="20">
        <v>8</v>
      </c>
      <c r="C12" s="21">
        <v>8</v>
      </c>
    </row>
    <row r="13" spans="1:3" x14ac:dyDescent="0.3">
      <c r="A13" s="19">
        <v>9</v>
      </c>
      <c r="B13" s="20">
        <v>9</v>
      </c>
      <c r="C13" s="21">
        <v>9</v>
      </c>
    </row>
    <row r="14" spans="1:3" x14ac:dyDescent="0.3">
      <c r="A14" s="19">
        <v>10</v>
      </c>
      <c r="B14" s="20">
        <v>10</v>
      </c>
      <c r="C14" s="21">
        <v>10</v>
      </c>
    </row>
    <row r="15" spans="1:3" x14ac:dyDescent="0.3">
      <c r="A15" s="19">
        <v>11</v>
      </c>
      <c r="B15" s="20">
        <v>11</v>
      </c>
      <c r="C15" s="21">
        <v>11</v>
      </c>
    </row>
    <row r="16" spans="1:3" x14ac:dyDescent="0.3">
      <c r="A16" s="19">
        <v>12</v>
      </c>
      <c r="B16" s="20">
        <v>12</v>
      </c>
      <c r="C16" s="21">
        <v>12</v>
      </c>
    </row>
    <row r="17" spans="1:3" x14ac:dyDescent="0.3">
      <c r="A17" s="19">
        <v>13</v>
      </c>
      <c r="B17" s="20">
        <v>13</v>
      </c>
      <c r="C17" s="21">
        <v>13</v>
      </c>
    </row>
    <row r="18" spans="1:3" x14ac:dyDescent="0.3">
      <c r="A18" s="19">
        <v>14</v>
      </c>
      <c r="B18" s="20">
        <v>14</v>
      </c>
      <c r="C18" s="21">
        <v>14</v>
      </c>
    </row>
    <row r="19" spans="1:3" x14ac:dyDescent="0.3">
      <c r="A19" s="19">
        <v>15</v>
      </c>
      <c r="B19" s="20">
        <v>15</v>
      </c>
      <c r="C19" s="21">
        <v>15</v>
      </c>
    </row>
    <row r="20" spans="1:3" x14ac:dyDescent="0.3">
      <c r="A20" s="19">
        <v>16</v>
      </c>
      <c r="B20" s="20">
        <v>16</v>
      </c>
      <c r="C20" s="21">
        <v>16</v>
      </c>
    </row>
    <row r="21" spans="1:3" x14ac:dyDescent="0.3">
      <c r="A21" s="19">
        <v>17</v>
      </c>
      <c r="B21" s="20">
        <v>17</v>
      </c>
      <c r="C21" s="21">
        <v>17</v>
      </c>
    </row>
    <row r="22" spans="1:3" x14ac:dyDescent="0.3">
      <c r="A22" s="19">
        <v>18</v>
      </c>
      <c r="B22" s="20">
        <v>18</v>
      </c>
      <c r="C22" s="21">
        <v>18</v>
      </c>
    </row>
    <row r="23" spans="1:3" x14ac:dyDescent="0.3">
      <c r="A23" s="19">
        <v>19</v>
      </c>
      <c r="B23" s="20">
        <v>19</v>
      </c>
      <c r="C23" s="21">
        <v>19</v>
      </c>
    </row>
    <row r="24" spans="1:3" x14ac:dyDescent="0.3">
      <c r="A24" s="19">
        <v>20</v>
      </c>
      <c r="B24" s="20">
        <v>20</v>
      </c>
      <c r="C24" s="21">
        <v>20</v>
      </c>
    </row>
    <row r="25" spans="1:3" x14ac:dyDescent="0.3">
      <c r="A25" s="19">
        <v>21</v>
      </c>
      <c r="B25" s="20">
        <v>21</v>
      </c>
      <c r="C25" s="21">
        <v>21</v>
      </c>
    </row>
    <row r="26" spans="1:3" x14ac:dyDescent="0.3">
      <c r="A26" s="19">
        <v>22</v>
      </c>
      <c r="B26" s="20">
        <v>22</v>
      </c>
      <c r="C26" s="21">
        <v>22</v>
      </c>
    </row>
  </sheetData>
  <mergeCells count="2">
    <mergeCell ref="B3:C3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581A-3C59-46E7-A0C7-22A3B97D6358}">
  <dimension ref="A1:C14"/>
  <sheetViews>
    <sheetView workbookViewId="0">
      <selection activeCell="J14" sqref="J14"/>
    </sheetView>
  </sheetViews>
  <sheetFormatPr defaultRowHeight="14.4" x14ac:dyDescent="0.3"/>
  <sheetData>
    <row r="1" spans="1:3" ht="16.2" thickBot="1" x14ac:dyDescent="0.35">
      <c r="A1" s="71" t="s">
        <v>19</v>
      </c>
      <c r="B1" s="72"/>
      <c r="C1" s="73"/>
    </row>
    <row r="2" spans="1:3" ht="15" thickBot="1" x14ac:dyDescent="0.35">
      <c r="A2" s="51"/>
      <c r="B2" s="69" t="s">
        <v>12</v>
      </c>
      <c r="C2" s="70"/>
    </row>
    <row r="3" spans="1:3" ht="15" thickBot="1" x14ac:dyDescent="0.35">
      <c r="A3" s="32" t="s">
        <v>11</v>
      </c>
      <c r="B3" s="49">
        <v>0</v>
      </c>
      <c r="C3" s="50">
        <v>100</v>
      </c>
    </row>
    <row r="4" spans="1:3" x14ac:dyDescent="0.3">
      <c r="A4" s="52">
        <v>0</v>
      </c>
      <c r="B4" s="56">
        <v>163</v>
      </c>
      <c r="C4" s="57">
        <v>163</v>
      </c>
    </row>
    <row r="5" spans="1:3" x14ac:dyDescent="0.3">
      <c r="A5" s="58">
        <v>20</v>
      </c>
      <c r="B5" s="46">
        <v>163</v>
      </c>
      <c r="C5" s="58">
        <v>163</v>
      </c>
    </row>
    <row r="6" spans="1:3" x14ac:dyDescent="0.3">
      <c r="A6" s="58">
        <v>50</v>
      </c>
      <c r="B6" s="46">
        <v>161</v>
      </c>
      <c r="C6" s="58">
        <v>161</v>
      </c>
    </row>
    <row r="7" spans="1:3" x14ac:dyDescent="0.3">
      <c r="A7" s="58">
        <v>100</v>
      </c>
      <c r="B7" s="46">
        <v>159</v>
      </c>
      <c r="C7" s="58">
        <v>159</v>
      </c>
    </row>
    <row r="8" spans="1:3" x14ac:dyDescent="0.3">
      <c r="A8" s="58">
        <v>150</v>
      </c>
      <c r="B8" s="46">
        <v>155</v>
      </c>
      <c r="C8" s="58">
        <v>155</v>
      </c>
    </row>
    <row r="9" spans="1:3" x14ac:dyDescent="0.3">
      <c r="A9" s="58">
        <v>200</v>
      </c>
      <c r="B9" s="46">
        <v>150</v>
      </c>
      <c r="C9" s="58">
        <v>150</v>
      </c>
    </row>
    <row r="10" spans="1:3" x14ac:dyDescent="0.3">
      <c r="A10" s="59">
        <v>250</v>
      </c>
      <c r="B10" s="47">
        <v>141</v>
      </c>
      <c r="C10" s="59">
        <v>141</v>
      </c>
    </row>
    <row r="11" spans="1:3" x14ac:dyDescent="0.3">
      <c r="A11" s="58">
        <v>300</v>
      </c>
      <c r="B11" s="46">
        <v>129</v>
      </c>
      <c r="C11" s="58">
        <v>129</v>
      </c>
    </row>
    <row r="12" spans="1:3" x14ac:dyDescent="0.3">
      <c r="A12" s="59">
        <v>350</v>
      </c>
      <c r="B12" s="47">
        <v>115</v>
      </c>
      <c r="C12" s="59">
        <v>115</v>
      </c>
    </row>
    <row r="13" spans="1:3" x14ac:dyDescent="0.3">
      <c r="A13" s="58">
        <v>400</v>
      </c>
      <c r="B13" s="46">
        <v>95</v>
      </c>
      <c r="C13" s="58">
        <v>95</v>
      </c>
    </row>
    <row r="14" spans="1:3" ht="15" thickBot="1" x14ac:dyDescent="0.35">
      <c r="A14" s="33">
        <v>700</v>
      </c>
      <c r="B14" s="48">
        <v>0</v>
      </c>
      <c r="C14" s="31">
        <f>B14</f>
        <v>0</v>
      </c>
    </row>
  </sheetData>
  <mergeCells count="2">
    <mergeCell ref="B2:C2"/>
    <mergeCell ref="A1:C1"/>
  </mergeCells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59BE-600F-465A-9C73-696CD2164805}">
  <dimension ref="A1:C10"/>
  <sheetViews>
    <sheetView zoomScale="115" zoomScaleNormal="115" workbookViewId="0">
      <selection activeCell="B4" sqref="B4"/>
    </sheetView>
  </sheetViews>
  <sheetFormatPr defaultColWidth="8.88671875" defaultRowHeight="14.4" x14ac:dyDescent="0.3"/>
  <cols>
    <col min="1" max="16384" width="8.88671875" style="1"/>
  </cols>
  <sheetData>
    <row r="1" spans="1:3" s="64" customFormat="1" x14ac:dyDescent="0.3"/>
    <row r="2" spans="1:3" s="64" customFormat="1" x14ac:dyDescent="0.3">
      <c r="B2" s="65" t="s">
        <v>13</v>
      </c>
      <c r="C2" s="65"/>
    </row>
    <row r="3" spans="1:3" x14ac:dyDescent="0.3">
      <c r="A3" s="35" t="s">
        <v>11</v>
      </c>
      <c r="B3" s="35">
        <v>0</v>
      </c>
      <c r="C3" s="63">
        <v>1</v>
      </c>
    </row>
    <row r="4" spans="1:3" x14ac:dyDescent="0.3">
      <c r="A4" s="1">
        <v>50</v>
      </c>
      <c r="B4" s="27">
        <v>0</v>
      </c>
      <c r="C4" s="27">
        <v>0</v>
      </c>
    </row>
    <row r="5" spans="1:3" x14ac:dyDescent="0.3">
      <c r="A5" s="1">
        <v>100</v>
      </c>
      <c r="B5" s="27">
        <v>0</v>
      </c>
      <c r="C5" s="27">
        <v>0</v>
      </c>
    </row>
    <row r="6" spans="1:3" x14ac:dyDescent="0.3">
      <c r="A6" s="1">
        <v>150</v>
      </c>
      <c r="B6" s="27">
        <v>0</v>
      </c>
      <c r="C6" s="27">
        <v>0</v>
      </c>
    </row>
    <row r="7" spans="1:3" x14ac:dyDescent="0.3">
      <c r="A7" s="1">
        <v>200</v>
      </c>
      <c r="B7" s="27">
        <v>0</v>
      </c>
      <c r="C7" s="27">
        <v>0</v>
      </c>
    </row>
    <row r="8" spans="1:3" x14ac:dyDescent="0.3">
      <c r="A8" s="1">
        <v>250</v>
      </c>
      <c r="B8" s="27">
        <v>0</v>
      </c>
      <c r="C8" s="27">
        <v>0</v>
      </c>
    </row>
    <row r="9" spans="1:3" x14ac:dyDescent="0.3">
      <c r="A9" s="1">
        <v>300</v>
      </c>
      <c r="B9" s="27">
        <v>0</v>
      </c>
      <c r="C9" s="27">
        <v>0</v>
      </c>
    </row>
    <row r="10" spans="1:3" x14ac:dyDescent="0.3">
      <c r="A10" s="1">
        <v>350</v>
      </c>
      <c r="B10" s="27">
        <v>0</v>
      </c>
      <c r="C10" s="27">
        <v>0</v>
      </c>
    </row>
  </sheetData>
  <mergeCells count="1">
    <mergeCell ref="B2:C2"/>
  </mergeCells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B7B7-B490-4CD3-AB1A-AACEAE39BE05}">
  <dimension ref="A1:D12"/>
  <sheetViews>
    <sheetView workbookViewId="0">
      <selection activeCell="C3" sqref="C3"/>
    </sheetView>
  </sheetViews>
  <sheetFormatPr defaultColWidth="8.88671875" defaultRowHeight="14.4" x14ac:dyDescent="0.3"/>
  <cols>
    <col min="1" max="1" width="13.33203125" style="1" customWidth="1"/>
    <col min="2" max="16384" width="8.88671875" style="1"/>
  </cols>
  <sheetData>
    <row r="1" spans="1:4" x14ac:dyDescent="0.3">
      <c r="A1" s="1" t="s">
        <v>15</v>
      </c>
    </row>
    <row r="2" spans="1:4" x14ac:dyDescent="0.3">
      <c r="B2" s="65" t="s">
        <v>13</v>
      </c>
      <c r="C2" s="65"/>
    </row>
    <row r="3" spans="1:4" x14ac:dyDescent="0.3">
      <c r="A3" s="35" t="s">
        <v>11</v>
      </c>
      <c r="B3" s="35">
        <v>0</v>
      </c>
      <c r="C3" s="61">
        <v>1E-3</v>
      </c>
      <c r="D3" s="61">
        <v>100</v>
      </c>
    </row>
    <row r="4" spans="1:4" x14ac:dyDescent="0.3">
      <c r="A4" s="55">
        <v>20</v>
      </c>
      <c r="B4" s="55">
        <v>245</v>
      </c>
      <c r="C4" s="55">
        <f>B4</f>
        <v>245</v>
      </c>
      <c r="D4" s="55">
        <v>245</v>
      </c>
    </row>
    <row r="5" spans="1:4" x14ac:dyDescent="0.3">
      <c r="A5" s="55">
        <v>50</v>
      </c>
      <c r="B5" s="55">
        <v>242</v>
      </c>
      <c r="C5" s="55">
        <f t="shared" ref="C5:C6" si="0">B5</f>
        <v>242</v>
      </c>
      <c r="D5" s="55">
        <v>242</v>
      </c>
    </row>
    <row r="6" spans="1:4" x14ac:dyDescent="0.3">
      <c r="A6" s="55">
        <v>100</v>
      </c>
      <c r="B6" s="55">
        <v>239</v>
      </c>
      <c r="C6" s="55">
        <f t="shared" si="0"/>
        <v>239</v>
      </c>
      <c r="D6" s="55">
        <v>239</v>
      </c>
    </row>
    <row r="7" spans="1:4" x14ac:dyDescent="0.3">
      <c r="A7" s="55">
        <v>150</v>
      </c>
      <c r="B7" s="55">
        <v>233</v>
      </c>
      <c r="C7" s="55">
        <f>B7*1.1</f>
        <v>256.3</v>
      </c>
      <c r="D7" s="55">
        <v>256.3</v>
      </c>
    </row>
    <row r="8" spans="1:4" x14ac:dyDescent="0.3">
      <c r="A8" s="55">
        <v>200</v>
      </c>
      <c r="B8" s="55">
        <v>225</v>
      </c>
      <c r="C8" s="62">
        <f>B8*1.16</f>
        <v>261</v>
      </c>
      <c r="D8" s="62">
        <v>261</v>
      </c>
    </row>
    <row r="9" spans="1:4" x14ac:dyDescent="0.3">
      <c r="A9" s="55">
        <v>250</v>
      </c>
      <c r="B9" s="55">
        <v>212</v>
      </c>
      <c r="C9" s="62">
        <f>B9*1.21</f>
        <v>256.52</v>
      </c>
      <c r="D9" s="62">
        <v>256.52</v>
      </c>
    </row>
    <row r="10" spans="1:4" x14ac:dyDescent="0.3">
      <c r="A10" s="55">
        <v>300</v>
      </c>
      <c r="B10" s="55">
        <v>194</v>
      </c>
      <c r="C10" s="55">
        <f>B10*1.26</f>
        <v>244.44</v>
      </c>
      <c r="D10" s="55">
        <v>244.44</v>
      </c>
    </row>
    <row r="11" spans="1:4" x14ac:dyDescent="0.3">
      <c r="A11" s="55">
        <v>350</v>
      </c>
      <c r="B11" s="55">
        <v>172</v>
      </c>
      <c r="C11" s="62">
        <f>B11*1.31</f>
        <v>225.32000000000002</v>
      </c>
      <c r="D11" s="62">
        <v>225.32000000000002</v>
      </c>
    </row>
    <row r="12" spans="1:4" x14ac:dyDescent="0.3">
      <c r="A12" s="55">
        <v>400</v>
      </c>
      <c r="B12" s="55">
        <v>143</v>
      </c>
      <c r="C12" s="62">
        <f>B12*1.37</f>
        <v>195.91000000000003</v>
      </c>
      <c r="D12" s="62">
        <v>195.91000000000003</v>
      </c>
    </row>
  </sheetData>
  <mergeCells count="1">
    <mergeCell ref="B2:C2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6E78-4B6E-4E72-8283-E849FD84C2E5}">
  <dimension ref="A1:D12"/>
  <sheetViews>
    <sheetView workbookViewId="0">
      <selection activeCell="I10" sqref="I10"/>
    </sheetView>
  </sheetViews>
  <sheetFormatPr defaultColWidth="8.88671875" defaultRowHeight="14.4" x14ac:dyDescent="0.3"/>
  <cols>
    <col min="1" max="16384" width="8.88671875" style="1"/>
  </cols>
  <sheetData>
    <row r="1" spans="1:4" x14ac:dyDescent="0.3">
      <c r="A1" s="65" t="s">
        <v>14</v>
      </c>
      <c r="B1" s="65"/>
      <c r="C1" s="65"/>
    </row>
    <row r="2" spans="1:4" x14ac:dyDescent="0.3">
      <c r="B2" s="65" t="s">
        <v>13</v>
      </c>
      <c r="C2" s="74"/>
    </row>
    <row r="3" spans="1:4" x14ac:dyDescent="0.3">
      <c r="A3" s="35" t="s">
        <v>11</v>
      </c>
      <c r="B3" s="35">
        <v>0</v>
      </c>
      <c r="C3" s="61">
        <v>1E-3</v>
      </c>
      <c r="D3" s="61">
        <v>100</v>
      </c>
    </row>
    <row r="4" spans="1:4" x14ac:dyDescent="0.3">
      <c r="A4" s="55">
        <v>20</v>
      </c>
      <c r="B4" s="55">
        <v>620</v>
      </c>
      <c r="C4" s="55">
        <f>B4</f>
        <v>620</v>
      </c>
      <c r="D4" s="55">
        <v>620</v>
      </c>
    </row>
    <row r="5" spans="1:4" x14ac:dyDescent="0.3">
      <c r="A5" s="55">
        <v>50</v>
      </c>
      <c r="B5" s="55">
        <v>611</v>
      </c>
      <c r="C5" s="55">
        <f t="shared" ref="C5:C6" si="0">B5</f>
        <v>611</v>
      </c>
      <c r="D5" s="55">
        <v>611</v>
      </c>
    </row>
    <row r="6" spans="1:4" x14ac:dyDescent="0.3">
      <c r="A6" s="55">
        <v>100</v>
      </c>
      <c r="B6" s="55">
        <v>601</v>
      </c>
      <c r="C6" s="55">
        <f t="shared" si="0"/>
        <v>601</v>
      </c>
      <c r="D6" s="55">
        <v>601</v>
      </c>
    </row>
    <row r="7" spans="1:4" x14ac:dyDescent="0.3">
      <c r="A7" s="55">
        <v>150</v>
      </c>
      <c r="B7" s="55">
        <v>585</v>
      </c>
      <c r="C7" s="55">
        <f>B7*0.96</f>
        <v>561.6</v>
      </c>
      <c r="D7" s="55">
        <v>561.6</v>
      </c>
    </row>
    <row r="8" spans="1:4" x14ac:dyDescent="0.3">
      <c r="A8" s="55">
        <v>200</v>
      </c>
      <c r="B8" s="55">
        <v>562</v>
      </c>
      <c r="C8" s="62">
        <f>B8*0.935</f>
        <v>525.47</v>
      </c>
      <c r="D8" s="62">
        <v>525.47</v>
      </c>
    </row>
    <row r="9" spans="1:4" x14ac:dyDescent="0.3">
      <c r="A9" s="55">
        <v>250</v>
      </c>
      <c r="B9" s="55">
        <v>530</v>
      </c>
      <c r="C9" s="62">
        <f>B9*0.91</f>
        <v>482.3</v>
      </c>
      <c r="D9" s="62">
        <v>482.3</v>
      </c>
    </row>
    <row r="10" spans="1:4" x14ac:dyDescent="0.3">
      <c r="A10" s="55">
        <v>300</v>
      </c>
      <c r="B10" s="55">
        <v>489</v>
      </c>
      <c r="C10" s="55">
        <f>B10*0.89</f>
        <v>435.21</v>
      </c>
      <c r="D10" s="55">
        <v>435.21</v>
      </c>
    </row>
    <row r="11" spans="1:4" x14ac:dyDescent="0.3">
      <c r="A11" s="55">
        <v>350</v>
      </c>
      <c r="B11" s="55">
        <v>439</v>
      </c>
      <c r="C11" s="62">
        <f>B11*0.86</f>
        <v>377.54</v>
      </c>
      <c r="D11" s="62">
        <v>377.54</v>
      </c>
    </row>
    <row r="12" spans="1:4" x14ac:dyDescent="0.3">
      <c r="A12" s="55">
        <v>400</v>
      </c>
      <c r="B12" s="55">
        <v>379</v>
      </c>
      <c r="C12" s="62">
        <f>B12*0.83</f>
        <v>314.57</v>
      </c>
      <c r="D12" s="62">
        <v>314.57</v>
      </c>
    </row>
  </sheetData>
  <mergeCells count="2">
    <mergeCell ref="A1:C1"/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D92A-97ED-46FD-B28E-A85C9172A402}">
  <dimension ref="A1:L11"/>
  <sheetViews>
    <sheetView workbookViewId="0">
      <selection activeCell="K23" sqref="K23"/>
    </sheetView>
  </sheetViews>
  <sheetFormatPr defaultRowHeight="14.4" x14ac:dyDescent="0.3"/>
  <sheetData>
    <row r="1" spans="1:12" x14ac:dyDescent="0.3">
      <c r="A1" t="s">
        <v>16</v>
      </c>
    </row>
    <row r="2" spans="1:12" x14ac:dyDescent="0.3">
      <c r="A2" s="36"/>
      <c r="B2" s="65" t="s">
        <v>12</v>
      </c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15" thickBot="1" x14ac:dyDescent="0.35">
      <c r="A3" s="39" t="s">
        <v>11</v>
      </c>
      <c r="B3" s="40">
        <v>0</v>
      </c>
      <c r="C3" s="41">
        <v>0.5</v>
      </c>
      <c r="D3" s="41">
        <v>1</v>
      </c>
      <c r="E3" s="41">
        <v>1.5</v>
      </c>
      <c r="F3" s="41">
        <v>2</v>
      </c>
      <c r="G3" s="41">
        <v>2.5</v>
      </c>
      <c r="H3" s="41">
        <v>3</v>
      </c>
      <c r="I3" s="41">
        <v>3.5</v>
      </c>
      <c r="J3" s="41">
        <v>4</v>
      </c>
      <c r="K3" s="41">
        <v>4.5</v>
      </c>
      <c r="L3" s="42">
        <v>5</v>
      </c>
    </row>
    <row r="4" spans="1:12" x14ac:dyDescent="0.3">
      <c r="A4" s="43">
        <v>20</v>
      </c>
      <c r="B4" s="38">
        <v>0</v>
      </c>
      <c r="C4" s="38">
        <v>0</v>
      </c>
      <c r="D4" s="38">
        <v>0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</row>
    <row r="5" spans="1:12" x14ac:dyDescent="0.3">
      <c r="A5" s="44">
        <v>50</v>
      </c>
      <c r="B5" s="38">
        <v>0</v>
      </c>
      <c r="C5" s="38">
        <v>0</v>
      </c>
      <c r="D5" s="38">
        <v>0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38">
        <v>0</v>
      </c>
      <c r="K5" s="38">
        <v>0</v>
      </c>
      <c r="L5" s="38">
        <v>0</v>
      </c>
    </row>
    <row r="6" spans="1:12" x14ac:dyDescent="0.3">
      <c r="A6" s="44">
        <v>100</v>
      </c>
      <c r="B6" s="38">
        <v>0</v>
      </c>
      <c r="C6" s="38">
        <v>0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8">
        <v>0</v>
      </c>
      <c r="K6" s="38">
        <v>0</v>
      </c>
      <c r="L6" s="38">
        <v>0</v>
      </c>
    </row>
    <row r="7" spans="1:12" x14ac:dyDescent="0.3">
      <c r="A7" s="44">
        <v>150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</row>
    <row r="8" spans="1:12" x14ac:dyDescent="0.3">
      <c r="A8" s="44">
        <v>200</v>
      </c>
      <c r="B8" s="38">
        <v>0</v>
      </c>
      <c r="C8" s="38">
        <v>0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</row>
    <row r="9" spans="1:12" x14ac:dyDescent="0.3">
      <c r="A9" s="44">
        <v>250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</row>
    <row r="10" spans="1:12" x14ac:dyDescent="0.3">
      <c r="A10" s="44">
        <v>300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</row>
    <row r="11" spans="1:12" x14ac:dyDescent="0.3">
      <c r="A11" s="45">
        <v>350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</row>
  </sheetData>
  <mergeCells count="1">
    <mergeCell ref="B2:L2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workbookViewId="0">
      <selection activeCell="N18" sqref="N18"/>
    </sheetView>
  </sheetViews>
  <sheetFormatPr defaultColWidth="8.88671875" defaultRowHeight="14.4" x14ac:dyDescent="0.3"/>
  <cols>
    <col min="1" max="16384" width="8.88671875" style="2"/>
  </cols>
  <sheetData>
    <row r="1" spans="1:17" ht="15" thickBot="1" x14ac:dyDescent="0.35">
      <c r="A1" s="8" t="s">
        <v>7</v>
      </c>
      <c r="B1" s="8"/>
      <c r="C1" s="75" t="s">
        <v>5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17"/>
    </row>
    <row r="2" spans="1:17" ht="15" thickBot="1" x14ac:dyDescent="0.35">
      <c r="A2" s="9" t="s">
        <v>0</v>
      </c>
      <c r="B2" s="25">
        <v>0</v>
      </c>
      <c r="C2" s="10">
        <v>1</v>
      </c>
      <c r="D2" s="11">
        <v>2</v>
      </c>
      <c r="E2" s="10">
        <v>3</v>
      </c>
      <c r="F2" s="11">
        <v>4</v>
      </c>
      <c r="G2" s="10">
        <v>5</v>
      </c>
      <c r="H2" s="11">
        <v>6</v>
      </c>
      <c r="I2" s="10">
        <v>7</v>
      </c>
      <c r="J2" s="11">
        <v>8</v>
      </c>
      <c r="K2" s="10">
        <v>9</v>
      </c>
      <c r="L2" s="11">
        <v>10</v>
      </c>
      <c r="M2" s="10">
        <v>11</v>
      </c>
      <c r="N2" s="11">
        <v>12</v>
      </c>
      <c r="O2" s="10">
        <v>13</v>
      </c>
      <c r="P2" s="11">
        <v>14</v>
      </c>
      <c r="Q2" s="22"/>
    </row>
    <row r="3" spans="1:17" x14ac:dyDescent="0.3">
      <c r="A3" s="12">
        <v>1</v>
      </c>
      <c r="B3" s="26">
        <v>0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4"/>
    </row>
    <row r="4" spans="1:17" ht="15" thickBot="1" x14ac:dyDescent="0.35">
      <c r="A4" s="13">
        <v>2</v>
      </c>
      <c r="B4" s="26">
        <v>0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4"/>
    </row>
  </sheetData>
  <mergeCells count="1">
    <mergeCell ref="C1: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"/>
  <sheetViews>
    <sheetView workbookViewId="0">
      <selection activeCell="A2" sqref="A2:P4"/>
    </sheetView>
  </sheetViews>
  <sheetFormatPr defaultColWidth="8.88671875" defaultRowHeight="14.4" x14ac:dyDescent="0.3"/>
  <cols>
    <col min="1" max="16384" width="8.88671875" style="2"/>
  </cols>
  <sheetData>
    <row r="1" spans="1:17" ht="15" thickBot="1" x14ac:dyDescent="0.35">
      <c r="A1" s="8" t="s">
        <v>6</v>
      </c>
      <c r="B1" s="8"/>
      <c r="C1" s="77" t="s">
        <v>5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18"/>
    </row>
    <row r="2" spans="1:17" ht="15" thickBot="1" x14ac:dyDescent="0.35">
      <c r="A2" s="9" t="s">
        <v>0</v>
      </c>
      <c r="B2" s="25">
        <v>0</v>
      </c>
      <c r="C2" s="10">
        <v>1</v>
      </c>
      <c r="D2" s="11">
        <v>2</v>
      </c>
      <c r="E2" s="10">
        <v>3</v>
      </c>
      <c r="F2" s="11">
        <v>4</v>
      </c>
      <c r="G2" s="10">
        <v>5</v>
      </c>
      <c r="H2" s="11">
        <v>6</v>
      </c>
      <c r="I2" s="10">
        <v>7</v>
      </c>
      <c r="J2" s="11">
        <v>8</v>
      </c>
      <c r="K2" s="10">
        <v>9</v>
      </c>
      <c r="L2" s="11">
        <v>10</v>
      </c>
      <c r="M2" s="10">
        <v>11</v>
      </c>
      <c r="N2" s="11">
        <v>12</v>
      </c>
      <c r="O2" s="10">
        <v>13</v>
      </c>
      <c r="P2" s="11">
        <v>14</v>
      </c>
      <c r="Q2" s="22"/>
    </row>
    <row r="3" spans="1:17" x14ac:dyDescent="0.3">
      <c r="A3" s="12">
        <v>1</v>
      </c>
      <c r="B3" s="26">
        <v>0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3"/>
    </row>
    <row r="4" spans="1:17" ht="15" thickBot="1" x14ac:dyDescent="0.35">
      <c r="A4" s="13">
        <v>2</v>
      </c>
      <c r="B4" s="26">
        <v>0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4"/>
    </row>
  </sheetData>
  <mergeCells count="1">
    <mergeCell ref="C1:P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A2" sqref="A2:C7"/>
    </sheetView>
  </sheetViews>
  <sheetFormatPr defaultColWidth="8.88671875" defaultRowHeight="14.4" x14ac:dyDescent="0.3"/>
  <cols>
    <col min="1" max="2" width="12.33203125" style="2" customWidth="1"/>
    <col min="3" max="16384" width="8.88671875" style="2"/>
  </cols>
  <sheetData>
    <row r="1" spans="1:3" ht="15" thickBot="1" x14ac:dyDescent="0.35">
      <c r="A1" s="14" t="s">
        <v>0</v>
      </c>
      <c r="B1" s="15" t="s">
        <v>8</v>
      </c>
      <c r="C1" s="15" t="s">
        <v>9</v>
      </c>
    </row>
    <row r="2" spans="1:3" ht="15" thickBot="1" x14ac:dyDescent="0.3">
      <c r="A2" s="28">
        <v>1</v>
      </c>
      <c r="B2" s="29">
        <v>2</v>
      </c>
      <c r="C2" s="30">
        <v>3</v>
      </c>
    </row>
    <row r="3" spans="1:3" ht="15" thickBot="1" x14ac:dyDescent="0.35">
      <c r="A3" s="16">
        <v>2</v>
      </c>
      <c r="B3" s="16">
        <v>0</v>
      </c>
      <c r="C3" s="16">
        <v>0</v>
      </c>
    </row>
    <row r="4" spans="1:3" ht="15" thickBot="1" x14ac:dyDescent="0.35">
      <c r="A4" s="16">
        <v>3</v>
      </c>
      <c r="B4" s="16">
        <v>0</v>
      </c>
      <c r="C4" s="16">
        <v>0</v>
      </c>
    </row>
    <row r="5" spans="1:3" ht="15" thickBot="1" x14ac:dyDescent="0.35">
      <c r="A5" s="16">
        <v>4</v>
      </c>
      <c r="B5" s="16">
        <v>0</v>
      </c>
      <c r="C5" s="16">
        <v>0</v>
      </c>
    </row>
    <row r="6" spans="1:3" ht="15" thickBot="1" x14ac:dyDescent="0.35">
      <c r="A6" s="16">
        <v>5</v>
      </c>
      <c r="B6" s="16">
        <v>0</v>
      </c>
      <c r="C6" s="16">
        <v>0</v>
      </c>
    </row>
    <row r="7" spans="1:3" x14ac:dyDescent="0.3">
      <c r="A7" s="16">
        <v>6</v>
      </c>
      <c r="B7" s="16">
        <v>0</v>
      </c>
      <c r="C7" s="1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H29" sqref="H29:H30"/>
    </sheetView>
  </sheetViews>
  <sheetFormatPr defaultColWidth="8.88671875" defaultRowHeight="14.4" x14ac:dyDescent="0.3"/>
  <cols>
    <col min="1" max="1" width="13.5546875" style="34" customWidth="1"/>
    <col min="2" max="16384" width="8.88671875" style="34"/>
  </cols>
  <sheetData>
    <row r="1" spans="1:1" x14ac:dyDescent="0.3">
      <c r="A1" s="37" t="s">
        <v>10</v>
      </c>
    </row>
    <row r="2" spans="1:1" x14ac:dyDescent="0.3">
      <c r="A2" s="34">
        <v>0.32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EB181C-B032-4B55-8488-B934A42A52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4C9385-3AC8-47DE-AFE0-2EB8CD8856F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844B412-FF7F-49F1-8917-E72EB43B19A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Sd</vt:lpstr>
      <vt:lpstr>Sd_nopeak</vt:lpstr>
      <vt:lpstr>Young Modulus</vt:lpstr>
      <vt:lpstr>Fatigue Curves</vt:lpstr>
      <vt:lpstr>Sm</vt:lpstr>
      <vt:lpstr>Keff_rec</vt:lpstr>
      <vt:lpstr>Sy_min</vt:lpstr>
      <vt:lpstr>Su_min</vt:lpstr>
      <vt:lpstr>Se</vt:lpstr>
      <vt:lpstr>Keps</vt:lpstr>
      <vt:lpstr>Kmu</vt:lpstr>
      <vt:lpstr>K-m</vt:lpstr>
      <vt:lpstr>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Laghi</cp:lastModifiedBy>
  <dcterms:created xsi:type="dcterms:W3CDTF">2020-03-06T09:01:04Z</dcterms:created>
  <dcterms:modified xsi:type="dcterms:W3CDTF">2022-04-13T09:06:04Z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