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ring-my.sharepoint.com/personal/d_falco_nier_it/Documents/Documenti/GitHub/KAISER/src/kaiser/additional_data/materials/"/>
    </mc:Choice>
  </mc:AlternateContent>
  <xr:revisionPtr revIDLastSave="297" documentId="13_ncr:1_{E084F255-F415-4EA9-8C53-B195075F208F}" xr6:coauthVersionLast="47" xr6:coauthVersionMax="47" xr10:uidLastSave="{99E20F30-7BE5-4A53-A978-0CB3476FB20C}"/>
  <bookViews>
    <workbookView xWindow="-120" yWindow="-120" windowWidth="29040" windowHeight="15840" tabRatio="784" activeTab="8" xr2:uid="{00000000-000D-0000-FFFF-FFFF00000000}"/>
  </bookViews>
  <sheets>
    <sheet name="Sd_nopeak" sheetId="13" r:id="rId1"/>
    <sheet name="alpha" sheetId="16" r:id="rId2"/>
    <sheet name="Young Modulus" sheetId="1" r:id="rId3"/>
    <sheet name="Sm" sheetId="7" r:id="rId4"/>
    <sheet name="Fatigue Curves" sheetId="2" r:id="rId5"/>
    <sheet name="Keff_rec" sheetId="8" r:id="rId6"/>
    <sheet name="Sy_min" sheetId="9" r:id="rId7"/>
    <sheet name="Sy_moy" sheetId="17" r:id="rId8"/>
    <sheet name="Su_min" sheetId="10" r:id="rId9"/>
    <sheet name="Sd" sheetId="11" r:id="rId10"/>
    <sheet name="Se" sheetId="12" r:id="rId11"/>
    <sheet name="Keps" sheetId="3" r:id="rId12"/>
    <sheet name="Kmu" sheetId="4" r:id="rId13"/>
    <sheet name="K-m" sheetId="5" r:id="rId14"/>
    <sheet name="Nu" sheetId="6" r:id="rId15"/>
    <sheet name="TrueStressStrain" sheetId="14" r:id="rId16"/>
    <sheet name="TrueStressStrain2" sheetId="15" r:id="rId17"/>
    <sheet name="n0" sheetId="18" r:id="rId18"/>
    <sheet name="C0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8" i="7" l="1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</calcChain>
</file>

<file path=xl/sharedStrings.xml><?xml version="1.0" encoding="utf-8"?>
<sst xmlns="http://schemas.openxmlformats.org/spreadsheetml/2006/main" count="291" uniqueCount="38">
  <si>
    <t>T</t>
  </si>
  <si>
    <t>E [GPa]</t>
  </si>
  <si>
    <t>Ref:</t>
  </si>
  <si>
    <t>Ncycles</t>
  </si>
  <si>
    <t>A.S03.5.6</t>
  </si>
  <si>
    <t>to use also for irradiated materials up to 10 dpa and below 400°C</t>
  </si>
  <si>
    <t>Dstot</t>
  </si>
  <si>
    <t>K mu</t>
  </si>
  <si>
    <t>K eps</t>
  </si>
  <si>
    <t>K</t>
  </si>
  <si>
    <t>m</t>
  </si>
  <si>
    <t>Poisson ratio</t>
  </si>
  <si>
    <t>T [°C]</t>
  </si>
  <si>
    <r>
      <t>S</t>
    </r>
    <r>
      <rPr>
        <b/>
        <vertAlign val="subscript"/>
        <sz val="10"/>
        <color theme="1"/>
        <rFont val="Arial"/>
        <family val="2"/>
      </rPr>
      <t>m,irr</t>
    </r>
    <r>
      <rPr>
        <b/>
        <sz val="10"/>
        <color theme="1"/>
        <rFont val="Arial"/>
        <family val="2"/>
      </rPr>
      <t xml:space="preserve"> [MPa]</t>
    </r>
  </si>
  <si>
    <t>DPA</t>
  </si>
  <si>
    <t>dpa</t>
  </si>
  <si>
    <t>No limit</t>
  </si>
  <si>
    <t>Se, irr [MPa]</t>
  </si>
  <si>
    <t>Keff,rec</t>
  </si>
  <si>
    <t>Sd, irr [Mpa]</t>
  </si>
  <si>
    <t>strain</t>
  </si>
  <si>
    <t>20strain</t>
  </si>
  <si>
    <t>20stress</t>
  </si>
  <si>
    <t>100strain</t>
  </si>
  <si>
    <t>100stress</t>
  </si>
  <si>
    <t>200strain</t>
  </si>
  <si>
    <t>200stress</t>
  </si>
  <si>
    <t>250strain</t>
  </si>
  <si>
    <t>250stress</t>
  </si>
  <si>
    <t>300stress</t>
  </si>
  <si>
    <t>300strain</t>
  </si>
  <si>
    <t>limit</t>
  </si>
  <si>
    <t>alpha [1/K]</t>
  </si>
  <si>
    <r>
      <t>Sy</t>
    </r>
    <r>
      <rPr>
        <b/>
        <vertAlign val="subscript"/>
        <sz val="10"/>
        <color theme="1"/>
        <rFont val="Arial"/>
        <family val="2"/>
      </rPr>
      <t>,irr</t>
    </r>
    <r>
      <rPr>
        <b/>
        <sz val="10"/>
        <color theme="1"/>
        <rFont val="Arial"/>
        <family val="2"/>
      </rPr>
      <t xml:space="preserve"> [MPa]</t>
    </r>
  </si>
  <si>
    <r>
      <t>Su</t>
    </r>
    <r>
      <rPr>
        <b/>
        <vertAlign val="subscript"/>
        <sz val="10"/>
        <color theme="1"/>
        <rFont val="Arial"/>
        <family val="2"/>
      </rPr>
      <t>,irr</t>
    </r>
    <r>
      <rPr>
        <b/>
        <sz val="10"/>
        <color theme="1"/>
        <rFont val="Arial"/>
        <family val="2"/>
      </rPr>
      <t xml:space="preserve"> [MPa]</t>
    </r>
  </si>
  <si>
    <t>Sy,moy [MPa]</t>
  </si>
  <si>
    <t>C0</t>
  </si>
  <si>
    <t>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</si>
</sst>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color indexed="11"/>
      <name val="Arial"/>
      <family val="2"/>
    </font>
    <font>
      <b/>
      <sz val="10"/>
      <name val="Symbol"/>
      <family val="1"/>
      <charset val="2"/>
    </font>
    <font>
      <b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1" fontId="5" fillId="2" borderId="15" xfId="0" applyNumberFormat="1" applyFont="1" applyFill="1" applyBorder="1" applyAlignment="1">
      <alignment horizontal="center" vertical="center"/>
    </xf>
    <xf numFmtId="11" fontId="5" fillId="2" borderId="16" xfId="0" applyNumberFormat="1" applyFont="1" applyFill="1" applyBorder="1" applyAlignment="1">
      <alignment horizontal="center" vertical="center"/>
    </xf>
    <xf numFmtId="11" fontId="6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6" borderId="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7" fillId="5" borderId="22" xfId="0" applyNumberFormat="1" applyFont="1" applyFill="1" applyBorder="1" applyAlignment="1">
      <alignment horizontal="center" vertical="center"/>
    </xf>
    <xf numFmtId="0" fontId="1" fillId="0" borderId="0" xfId="0" applyFont="1"/>
    <xf numFmtId="0" fontId="7" fillId="4" borderId="39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7" fillId="5" borderId="42" xfId="0" applyFont="1" applyFill="1" applyBorder="1" applyAlignment="1">
      <alignment horizontal="center" vertical="center"/>
    </xf>
    <xf numFmtId="0" fontId="7" fillId="5" borderId="43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5" borderId="44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164" fontId="8" fillId="5" borderId="36" xfId="0" applyNumberFormat="1" applyFont="1" applyFill="1" applyBorder="1" applyAlignment="1">
      <alignment horizontal="center" vertical="center"/>
    </xf>
    <xf numFmtId="164" fontId="8" fillId="5" borderId="37" xfId="0" applyNumberFormat="1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1" fontId="7" fillId="5" borderId="42" xfId="0" applyNumberFormat="1" applyFont="1" applyFill="1" applyBorder="1" applyAlignment="1">
      <alignment horizontal="center" vertical="center"/>
    </xf>
    <xf numFmtId="1" fontId="7" fillId="5" borderId="43" xfId="0" applyNumberFormat="1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" borderId="0" xfId="0" applyFont="1" applyFill="1" applyAlignment="1">
      <alignment horizontal="center"/>
    </xf>
    <xf numFmtId="1" fontId="0" fillId="0" borderId="0" xfId="0" applyNumberFormat="1"/>
    <xf numFmtId="0" fontId="0" fillId="0" borderId="0" xfId="0" applyFill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/>
    </xf>
    <xf numFmtId="11" fontId="1" fillId="0" borderId="0" xfId="0" applyNumberFormat="1" applyFont="1" applyAlignment="1">
      <alignment horizontal="center" vertical="center"/>
    </xf>
    <xf numFmtId="11" fontId="0" fillId="0" borderId="0" xfId="0" applyNumberForma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4" borderId="0" xfId="0" applyFill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5" borderId="13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47" xfId="0" applyBorder="1" applyAlignment="1">
      <alignment horizontal="center"/>
    </xf>
    <xf numFmtId="165" fontId="0" fillId="0" borderId="20" xfId="0" applyNumberFormat="1" applyFill="1" applyBorder="1" applyAlignment="1">
      <alignment horizontal="center"/>
    </xf>
    <xf numFmtId="165" fontId="0" fillId="0" borderId="47" xfId="0" applyNumberForma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3" fillId="3" borderId="19" xfId="0" applyFont="1" applyFill="1" applyBorder="1" applyAlignment="1" applyProtection="1">
      <alignment horizontal="center" vertical="center"/>
      <protection locked="0"/>
    </xf>
    <xf numFmtId="0" fontId="3" fillId="3" borderId="49" xfId="0" applyFont="1" applyFill="1" applyBorder="1" applyAlignment="1" applyProtection="1">
      <alignment horizontal="center" vertical="center"/>
      <protection locked="0"/>
    </xf>
    <xf numFmtId="0" fontId="2" fillId="2" borderId="48" xfId="0" applyFont="1" applyFill="1" applyBorder="1" applyAlignment="1">
      <alignment horizontal="center" vertical="center"/>
    </xf>
    <xf numFmtId="0" fontId="3" fillId="3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9BE5-8CEB-4449-BE3C-0D4B209D8294}">
  <dimension ref="A1:L11"/>
  <sheetViews>
    <sheetView workbookViewId="0">
      <selection activeCell="L5" sqref="L5"/>
    </sheetView>
  </sheetViews>
  <sheetFormatPr defaultRowHeight="15" x14ac:dyDescent="0.25"/>
  <cols>
    <col min="1" max="1" width="11.5703125" customWidth="1"/>
  </cols>
  <sheetData>
    <row r="1" spans="1:12" x14ac:dyDescent="0.25">
      <c r="A1" t="s">
        <v>19</v>
      </c>
    </row>
    <row r="2" spans="1:12" x14ac:dyDescent="0.25">
      <c r="A2" s="42"/>
      <c r="B2" s="96" t="s">
        <v>15</v>
      </c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ht="15.75" thickBot="1" x14ac:dyDescent="0.3">
      <c r="A3" s="52" t="s">
        <v>12</v>
      </c>
      <c r="B3" s="53">
        <v>0</v>
      </c>
      <c r="C3" s="54">
        <v>0.5</v>
      </c>
      <c r="D3" s="54">
        <v>1</v>
      </c>
      <c r="E3" s="54">
        <v>1.5</v>
      </c>
      <c r="F3" s="54">
        <v>2</v>
      </c>
      <c r="G3" s="54">
        <v>2.5</v>
      </c>
      <c r="H3" s="54">
        <v>3</v>
      </c>
      <c r="I3" s="54">
        <v>3.5</v>
      </c>
      <c r="J3" s="54">
        <v>4</v>
      </c>
      <c r="K3" s="54">
        <v>4.5</v>
      </c>
      <c r="L3" s="55">
        <v>5</v>
      </c>
    </row>
    <row r="4" spans="1:12" ht="15.75" thickBot="1" x14ac:dyDescent="0.3">
      <c r="A4" s="56">
        <v>20</v>
      </c>
      <c r="B4" s="43" t="s">
        <v>16</v>
      </c>
      <c r="C4" s="44" t="s">
        <v>16</v>
      </c>
      <c r="D4" s="44" t="s">
        <v>16</v>
      </c>
      <c r="E4" s="44" t="s">
        <v>16</v>
      </c>
      <c r="F4" s="44" t="s">
        <v>16</v>
      </c>
      <c r="G4" s="44" t="s">
        <v>16</v>
      </c>
      <c r="H4" s="44" t="s">
        <v>16</v>
      </c>
      <c r="I4" s="44" t="s">
        <v>16</v>
      </c>
      <c r="J4" s="44" t="s">
        <v>16</v>
      </c>
      <c r="K4" s="44" t="s">
        <v>16</v>
      </c>
      <c r="L4" s="45" t="s">
        <v>16</v>
      </c>
    </row>
    <row r="5" spans="1:12" ht="15.75" thickBot="1" x14ac:dyDescent="0.3">
      <c r="A5" s="57">
        <v>50</v>
      </c>
      <c r="B5" s="46" t="s">
        <v>16</v>
      </c>
      <c r="C5" s="47" t="s">
        <v>16</v>
      </c>
      <c r="D5" s="47" t="s">
        <v>16</v>
      </c>
      <c r="E5" s="47" t="s">
        <v>16</v>
      </c>
      <c r="F5" s="47" t="s">
        <v>16</v>
      </c>
      <c r="G5" s="47" t="s">
        <v>16</v>
      </c>
      <c r="H5" s="47" t="s">
        <v>16</v>
      </c>
      <c r="I5" s="47" t="s">
        <v>16</v>
      </c>
      <c r="J5" s="47" t="s">
        <v>16</v>
      </c>
      <c r="K5" s="47" t="s">
        <v>16</v>
      </c>
      <c r="L5" s="59" t="s">
        <v>16</v>
      </c>
    </row>
    <row r="6" spans="1:12" ht="15.75" thickBot="1" x14ac:dyDescent="0.3">
      <c r="A6" s="57">
        <v>100</v>
      </c>
      <c r="B6" s="46" t="s">
        <v>16</v>
      </c>
      <c r="C6" s="47" t="s">
        <v>16</v>
      </c>
      <c r="D6" s="47" t="s">
        <v>16</v>
      </c>
      <c r="E6" s="47" t="s">
        <v>16</v>
      </c>
      <c r="F6" s="47" t="s">
        <v>16</v>
      </c>
      <c r="G6" s="47" t="s">
        <v>16</v>
      </c>
      <c r="H6" s="47" t="s">
        <v>16</v>
      </c>
      <c r="I6" s="47" t="s">
        <v>16</v>
      </c>
      <c r="J6" s="47" t="s">
        <v>16</v>
      </c>
      <c r="K6" s="47" t="s">
        <v>16</v>
      </c>
      <c r="L6" s="59" t="s">
        <v>16</v>
      </c>
    </row>
    <row r="7" spans="1:12" ht="15.75" thickBot="1" x14ac:dyDescent="0.3">
      <c r="A7" s="57">
        <v>150</v>
      </c>
      <c r="B7" s="46" t="s">
        <v>16</v>
      </c>
      <c r="C7" s="47" t="s">
        <v>16</v>
      </c>
      <c r="D7" s="47" t="s">
        <v>16</v>
      </c>
      <c r="E7" s="47" t="s">
        <v>16</v>
      </c>
      <c r="F7" s="47" t="s">
        <v>16</v>
      </c>
      <c r="G7" s="47" t="s">
        <v>16</v>
      </c>
      <c r="H7" s="47" t="s">
        <v>16</v>
      </c>
      <c r="I7" s="47" t="s">
        <v>16</v>
      </c>
      <c r="J7" s="47" t="s">
        <v>16</v>
      </c>
      <c r="K7" s="60">
        <v>411.01</v>
      </c>
      <c r="L7" s="61">
        <v>411.02</v>
      </c>
    </row>
    <row r="8" spans="1:12" ht="15.75" thickBot="1" x14ac:dyDescent="0.3">
      <c r="A8" s="57">
        <v>200</v>
      </c>
      <c r="B8" s="46" t="s">
        <v>16</v>
      </c>
      <c r="C8" s="47" t="s">
        <v>16</v>
      </c>
      <c r="D8" s="47" t="s">
        <v>16</v>
      </c>
      <c r="E8" s="47" t="s">
        <v>16</v>
      </c>
      <c r="F8" s="47" t="s">
        <v>16</v>
      </c>
      <c r="G8" s="47" t="s">
        <v>16</v>
      </c>
      <c r="H8" s="47" t="s">
        <v>16</v>
      </c>
      <c r="I8" s="48">
        <v>419</v>
      </c>
      <c r="J8" s="48">
        <v>423</v>
      </c>
      <c r="K8" s="48">
        <v>427</v>
      </c>
      <c r="L8" s="49">
        <v>429</v>
      </c>
    </row>
    <row r="9" spans="1:12" ht="15.75" thickBot="1" x14ac:dyDescent="0.3">
      <c r="A9" s="57">
        <v>250</v>
      </c>
      <c r="B9" s="46" t="s">
        <v>16</v>
      </c>
      <c r="C9" s="47" t="s">
        <v>16</v>
      </c>
      <c r="D9" s="47" t="s">
        <v>16</v>
      </c>
      <c r="E9" s="47" t="s">
        <v>16</v>
      </c>
      <c r="F9" s="47" t="s">
        <v>16</v>
      </c>
      <c r="G9" s="47" t="s">
        <v>16</v>
      </c>
      <c r="H9" s="60">
        <v>419.01</v>
      </c>
      <c r="I9" s="60">
        <v>427.01</v>
      </c>
      <c r="J9" s="60">
        <v>435.01</v>
      </c>
      <c r="K9" s="60">
        <v>442.01</v>
      </c>
      <c r="L9" s="61">
        <v>449.01</v>
      </c>
    </row>
    <row r="10" spans="1:12" ht="15.75" thickBot="1" x14ac:dyDescent="0.3">
      <c r="A10" s="57">
        <v>300</v>
      </c>
      <c r="B10" s="46" t="s">
        <v>16</v>
      </c>
      <c r="C10" s="47" t="s">
        <v>16</v>
      </c>
      <c r="D10" s="47" t="s">
        <v>16</v>
      </c>
      <c r="E10" s="47" t="s">
        <v>16</v>
      </c>
      <c r="F10" s="47" t="s">
        <v>16</v>
      </c>
      <c r="G10" s="47" t="s">
        <v>16</v>
      </c>
      <c r="H10" s="60">
        <v>419.02</v>
      </c>
      <c r="I10" s="60">
        <v>427.02</v>
      </c>
      <c r="J10" s="60">
        <v>435.02</v>
      </c>
      <c r="K10" s="60">
        <v>442.02</v>
      </c>
      <c r="L10" s="61">
        <v>449.02</v>
      </c>
    </row>
    <row r="11" spans="1:12" ht="15.75" thickBot="1" x14ac:dyDescent="0.3">
      <c r="A11" s="58">
        <v>350</v>
      </c>
      <c r="B11" s="50" t="s">
        <v>16</v>
      </c>
      <c r="C11" s="62" t="s">
        <v>16</v>
      </c>
      <c r="D11" s="62" t="s">
        <v>16</v>
      </c>
      <c r="E11" s="62" t="s">
        <v>16</v>
      </c>
      <c r="F11" s="62" t="s">
        <v>16</v>
      </c>
      <c r="G11" s="62" t="s">
        <v>16</v>
      </c>
      <c r="H11" s="41">
        <v>419.03</v>
      </c>
      <c r="I11" s="41">
        <v>427.03</v>
      </c>
      <c r="J11" s="41">
        <v>435.03</v>
      </c>
      <c r="K11" s="41">
        <v>442.03</v>
      </c>
      <c r="L11" s="63">
        <v>449.03</v>
      </c>
    </row>
  </sheetData>
  <mergeCells count="1"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225D-1206-450B-A133-4FC52A3B6075}">
  <dimension ref="A1:B8"/>
  <sheetViews>
    <sheetView workbookViewId="0">
      <selection activeCell="N6" sqref="N6"/>
    </sheetView>
  </sheetViews>
  <sheetFormatPr defaultColWidth="8.85546875" defaultRowHeight="15" x14ac:dyDescent="0.25"/>
  <cols>
    <col min="1" max="1" width="8.85546875" style="2"/>
    <col min="2" max="2" width="12.7109375" style="79" customWidth="1"/>
    <col min="3" max="6" width="8.85546875" style="2"/>
    <col min="7" max="7" width="24.140625" style="2" customWidth="1"/>
    <col min="8" max="16384" width="8.85546875" style="2"/>
  </cols>
  <sheetData>
    <row r="1" spans="1:2" x14ac:dyDescent="0.25">
      <c r="A1" s="3" t="s">
        <v>0</v>
      </c>
      <c r="B1" s="77" t="s">
        <v>32</v>
      </c>
    </row>
    <row r="2" spans="1:2" x14ac:dyDescent="0.25">
      <c r="A2" s="72">
        <v>20</v>
      </c>
      <c r="B2" s="78">
        <v>1.03E-5</v>
      </c>
    </row>
    <row r="3" spans="1:2" x14ac:dyDescent="0.25">
      <c r="A3" s="2">
        <v>50</v>
      </c>
      <c r="B3" s="79">
        <v>1.0499999999999999E-5</v>
      </c>
    </row>
    <row r="4" spans="1:2" x14ac:dyDescent="0.25">
      <c r="A4" s="2">
        <v>100</v>
      </c>
      <c r="B4" s="79">
        <v>1.0699999999999999E-5</v>
      </c>
    </row>
    <row r="5" spans="1:2" x14ac:dyDescent="0.25">
      <c r="A5" s="2">
        <v>200</v>
      </c>
      <c r="B5" s="79">
        <v>1.1199999999999999E-5</v>
      </c>
    </row>
    <row r="6" spans="1:2" x14ac:dyDescent="0.25">
      <c r="A6" s="2">
        <v>300</v>
      </c>
      <c r="B6" s="79">
        <v>1.1600000000000001E-5</v>
      </c>
    </row>
    <row r="7" spans="1:2" x14ac:dyDescent="0.25">
      <c r="A7" s="2">
        <v>400</v>
      </c>
      <c r="B7" s="79">
        <v>1.19E-5</v>
      </c>
    </row>
    <row r="8" spans="1:2" x14ac:dyDescent="0.25">
      <c r="A8" s="2">
        <v>500</v>
      </c>
      <c r="B8" s="79">
        <v>1.22E-5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E30" sqref="E30"/>
    </sheetView>
  </sheetViews>
  <sheetFormatPr defaultColWidth="8.85546875" defaultRowHeight="15" x14ac:dyDescent="0.25"/>
  <cols>
    <col min="1" max="6" width="8.85546875" style="2"/>
    <col min="7" max="7" width="24.140625" style="2" customWidth="1"/>
    <col min="8" max="16384" width="8.85546875" style="2"/>
  </cols>
  <sheetData>
    <row r="1" spans="1:2" x14ac:dyDescent="0.25">
      <c r="A1" s="3" t="s">
        <v>0</v>
      </c>
      <c r="B1" s="3" t="s">
        <v>1</v>
      </c>
    </row>
    <row r="2" spans="1:2" x14ac:dyDescent="0.25">
      <c r="A2" s="2">
        <v>20</v>
      </c>
      <c r="B2" s="2">
        <v>217</v>
      </c>
    </row>
    <row r="3" spans="1:2" x14ac:dyDescent="0.25">
      <c r="A3" s="2">
        <v>50</v>
      </c>
      <c r="B3" s="2">
        <v>215</v>
      </c>
    </row>
    <row r="4" spans="1:2" x14ac:dyDescent="0.25">
      <c r="A4" s="2">
        <v>100</v>
      </c>
      <c r="B4" s="2">
        <v>212</v>
      </c>
    </row>
    <row r="5" spans="1:2" x14ac:dyDescent="0.25">
      <c r="A5" s="2">
        <v>200</v>
      </c>
      <c r="B5" s="2">
        <v>207</v>
      </c>
    </row>
    <row r="6" spans="1:2" x14ac:dyDescent="0.25">
      <c r="A6" s="2">
        <v>300</v>
      </c>
      <c r="B6" s="2">
        <v>202</v>
      </c>
    </row>
    <row r="7" spans="1:2" x14ac:dyDescent="0.25">
      <c r="A7" s="2">
        <v>400</v>
      </c>
      <c r="B7" s="2">
        <v>196</v>
      </c>
    </row>
    <row r="8" spans="1:2" x14ac:dyDescent="0.25">
      <c r="A8" s="2">
        <v>500</v>
      </c>
      <c r="B8" s="2">
        <v>190</v>
      </c>
    </row>
    <row r="9" spans="1:2" x14ac:dyDescent="0.25">
      <c r="A9" s="2">
        <v>600</v>
      </c>
      <c r="B9" s="2">
        <v>170</v>
      </c>
    </row>
    <row r="10" spans="1:2" x14ac:dyDescent="0.25">
      <c r="A10" s="2">
        <v>700</v>
      </c>
      <c r="B10" s="2">
        <v>162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581A-3C59-46E7-A0C7-22A3B97D6358}">
  <dimension ref="A1:H18"/>
  <sheetViews>
    <sheetView workbookViewId="0">
      <selection activeCell="C16" sqref="C16"/>
    </sheetView>
  </sheetViews>
  <sheetFormatPr defaultRowHeight="15" x14ac:dyDescent="0.25"/>
  <cols>
    <col min="3" max="3" width="10.85546875" customWidth="1"/>
  </cols>
  <sheetData>
    <row r="1" spans="1:8" ht="15.75" thickBot="1" x14ac:dyDescent="0.3">
      <c r="A1" s="99" t="s">
        <v>13</v>
      </c>
      <c r="B1" s="100"/>
      <c r="C1" s="101"/>
    </row>
    <row r="2" spans="1:8" ht="15.75" thickBot="1" x14ac:dyDescent="0.3">
      <c r="A2" s="38"/>
      <c r="B2" s="97" t="s">
        <v>14</v>
      </c>
      <c r="C2" s="98"/>
    </row>
    <row r="3" spans="1:8" ht="15.75" thickBot="1" x14ac:dyDescent="0.3">
      <c r="A3" s="33" t="s">
        <v>12</v>
      </c>
      <c r="B3" s="39">
        <v>0</v>
      </c>
      <c r="C3" s="36">
        <v>100</v>
      </c>
    </row>
    <row r="4" spans="1:8" x14ac:dyDescent="0.25">
      <c r="A4" s="34">
        <v>20</v>
      </c>
      <c r="B4" s="30">
        <v>212</v>
      </c>
      <c r="C4" s="27">
        <f>B4</f>
        <v>212</v>
      </c>
    </row>
    <row r="5" spans="1:8" x14ac:dyDescent="0.25">
      <c r="A5" s="35">
        <v>50</v>
      </c>
      <c r="B5" s="31">
        <v>212</v>
      </c>
      <c r="C5" s="28">
        <f t="shared" ref="C5:C18" si="0">B5</f>
        <v>212</v>
      </c>
    </row>
    <row r="6" spans="1:8" x14ac:dyDescent="0.25">
      <c r="A6" s="35">
        <v>100</v>
      </c>
      <c r="B6" s="31">
        <v>212</v>
      </c>
      <c r="C6" s="28">
        <f t="shared" si="0"/>
        <v>212</v>
      </c>
    </row>
    <row r="7" spans="1:8" x14ac:dyDescent="0.25">
      <c r="A7" s="35">
        <v>150</v>
      </c>
      <c r="B7" s="31">
        <v>212</v>
      </c>
      <c r="C7" s="28">
        <f t="shared" si="0"/>
        <v>212</v>
      </c>
      <c r="H7" s="71"/>
    </row>
    <row r="8" spans="1:8" x14ac:dyDescent="0.25">
      <c r="A8" s="35">
        <v>200</v>
      </c>
      <c r="B8" s="31">
        <v>206</v>
      </c>
      <c r="C8" s="28">
        <f t="shared" si="0"/>
        <v>206</v>
      </c>
    </row>
    <row r="9" spans="1:8" x14ac:dyDescent="0.25">
      <c r="A9" s="35">
        <v>250</v>
      </c>
      <c r="B9" s="31">
        <v>199</v>
      </c>
      <c r="C9" s="28">
        <f t="shared" si="0"/>
        <v>199</v>
      </c>
    </row>
    <row r="10" spans="1:8" x14ac:dyDescent="0.25">
      <c r="A10" s="35">
        <v>300</v>
      </c>
      <c r="B10" s="32">
        <v>192</v>
      </c>
      <c r="C10" s="29">
        <f t="shared" si="0"/>
        <v>192</v>
      </c>
    </row>
    <row r="11" spans="1:8" x14ac:dyDescent="0.25">
      <c r="A11" s="35">
        <v>350</v>
      </c>
      <c r="B11" s="32">
        <v>183</v>
      </c>
      <c r="C11" s="29">
        <f t="shared" si="0"/>
        <v>183</v>
      </c>
    </row>
    <row r="12" spans="1:8" x14ac:dyDescent="0.25">
      <c r="A12" s="35">
        <v>400</v>
      </c>
      <c r="B12" s="32">
        <v>173</v>
      </c>
      <c r="C12" s="29">
        <f t="shared" si="0"/>
        <v>173</v>
      </c>
    </row>
    <row r="13" spans="1:8" x14ac:dyDescent="0.25">
      <c r="A13" s="35">
        <v>450</v>
      </c>
      <c r="B13" s="32">
        <v>161</v>
      </c>
      <c r="C13" s="29">
        <f t="shared" si="0"/>
        <v>161</v>
      </c>
    </row>
    <row r="14" spans="1:8" x14ac:dyDescent="0.25">
      <c r="A14" s="35">
        <v>500</v>
      </c>
      <c r="B14" s="32">
        <v>145</v>
      </c>
      <c r="C14" s="29">
        <f t="shared" si="0"/>
        <v>145</v>
      </c>
    </row>
    <row r="15" spans="1:8" x14ac:dyDescent="0.25">
      <c r="A15" s="35">
        <v>550</v>
      </c>
      <c r="B15" s="32">
        <v>126</v>
      </c>
      <c r="C15" s="29">
        <f t="shared" si="0"/>
        <v>126</v>
      </c>
    </row>
    <row r="16" spans="1:8" x14ac:dyDescent="0.25">
      <c r="A16" s="35">
        <v>600</v>
      </c>
      <c r="B16" s="32">
        <v>102</v>
      </c>
      <c r="C16" s="29">
        <f t="shared" si="0"/>
        <v>102</v>
      </c>
    </row>
    <row r="17" spans="1:3" x14ac:dyDescent="0.25">
      <c r="A17" s="84">
        <v>650</v>
      </c>
      <c r="B17" s="85">
        <v>74</v>
      </c>
      <c r="C17" s="86">
        <f t="shared" si="0"/>
        <v>74</v>
      </c>
    </row>
    <row r="18" spans="1:3" x14ac:dyDescent="0.25">
      <c r="A18" s="84">
        <v>700</v>
      </c>
      <c r="B18" s="85">
        <v>40</v>
      </c>
      <c r="C18" s="86">
        <f t="shared" si="0"/>
        <v>40</v>
      </c>
    </row>
  </sheetData>
  <mergeCells count="2">
    <mergeCell ref="B2:C2"/>
    <mergeCell ref="A1:C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workbookViewId="0">
      <selection activeCell="D19" sqref="D19"/>
    </sheetView>
  </sheetViews>
  <sheetFormatPr defaultColWidth="8.85546875" defaultRowHeight="15" x14ac:dyDescent="0.25"/>
  <cols>
    <col min="1" max="16384" width="8.85546875" style="1"/>
  </cols>
  <sheetData>
    <row r="1" spans="1:14" x14ac:dyDescent="0.25">
      <c r="A1" s="1" t="s">
        <v>2</v>
      </c>
      <c r="B1" s="1" t="s">
        <v>4</v>
      </c>
    </row>
    <row r="2" spans="1:14" ht="43.9" customHeight="1" thickBot="1" x14ac:dyDescent="0.3">
      <c r="A2" s="102" t="s">
        <v>5</v>
      </c>
      <c r="B2" s="103"/>
      <c r="C2" s="103"/>
    </row>
    <row r="3" spans="1:14" ht="15.75" thickBot="1" x14ac:dyDescent="0.3">
      <c r="A3" s="4" t="s">
        <v>20</v>
      </c>
      <c r="B3" s="104" t="s">
        <v>0</v>
      </c>
      <c r="C3" s="105"/>
      <c r="D3" s="105"/>
      <c r="E3" s="105"/>
      <c r="F3" s="106"/>
    </row>
    <row r="4" spans="1:14" ht="15.75" thickBot="1" x14ac:dyDescent="0.3">
      <c r="A4" s="10" t="s">
        <v>3</v>
      </c>
      <c r="B4" s="82">
        <v>20</v>
      </c>
      <c r="C4" s="10">
        <v>450</v>
      </c>
      <c r="D4" s="9">
        <v>500</v>
      </c>
      <c r="E4" s="10">
        <v>550</v>
      </c>
      <c r="F4" s="83">
        <v>650</v>
      </c>
    </row>
    <row r="5" spans="1:14" x14ac:dyDescent="0.25">
      <c r="A5" s="87">
        <v>20</v>
      </c>
      <c r="B5" s="87">
        <v>1.5489999999999999</v>
      </c>
      <c r="C5" s="7">
        <v>1.5489999999999999</v>
      </c>
      <c r="D5" s="7">
        <v>1.335</v>
      </c>
      <c r="E5" s="7">
        <v>1.335</v>
      </c>
      <c r="F5" s="8">
        <v>1.41</v>
      </c>
      <c r="J5" s="76"/>
      <c r="K5" s="76"/>
      <c r="L5" s="76"/>
      <c r="M5" s="76"/>
      <c r="N5" s="76"/>
    </row>
    <row r="6" spans="1:14" x14ac:dyDescent="0.25">
      <c r="A6" s="87">
        <v>40</v>
      </c>
      <c r="B6" s="87">
        <v>1.306</v>
      </c>
      <c r="C6" s="7">
        <v>1.306</v>
      </c>
      <c r="D6" s="7">
        <v>1.0660000000000001</v>
      </c>
      <c r="E6" s="7">
        <v>1.0660000000000001</v>
      </c>
      <c r="F6" s="8">
        <v>1.125</v>
      </c>
      <c r="J6" s="76"/>
      <c r="K6" s="76"/>
      <c r="L6" s="76"/>
      <c r="M6" s="76"/>
      <c r="N6" s="76"/>
    </row>
    <row r="7" spans="1:14" x14ac:dyDescent="0.25">
      <c r="A7" s="87">
        <v>100</v>
      </c>
      <c r="B7" s="87">
        <v>1.0429999999999999</v>
      </c>
      <c r="C7" s="7">
        <v>1.0429999999999999</v>
      </c>
      <c r="D7" s="7">
        <v>0.80100000000000005</v>
      </c>
      <c r="E7" s="7">
        <v>0.80100000000000005</v>
      </c>
      <c r="F7" s="8">
        <v>0.84099999999999997</v>
      </c>
      <c r="J7" s="76"/>
      <c r="K7" s="76"/>
      <c r="L7" s="76"/>
      <c r="M7" s="76"/>
      <c r="N7" s="76"/>
    </row>
    <row r="8" spans="1:14" x14ac:dyDescent="0.25">
      <c r="A8" s="87">
        <v>200</v>
      </c>
      <c r="B8" s="87">
        <v>0.88200000000000001</v>
      </c>
      <c r="C8" s="7">
        <v>0.88200000000000001</v>
      </c>
      <c r="D8" s="7">
        <v>0.65200000000000002</v>
      </c>
      <c r="E8" s="7">
        <v>0.65200000000000002</v>
      </c>
      <c r="F8" s="8">
        <v>0.67900000000000005</v>
      </c>
      <c r="J8" s="76"/>
      <c r="K8" s="76"/>
      <c r="L8" s="76"/>
      <c r="M8" s="76"/>
      <c r="N8" s="76"/>
    </row>
    <row r="9" spans="1:14" x14ac:dyDescent="0.25">
      <c r="A9" s="87">
        <v>400</v>
      </c>
      <c r="B9" s="87">
        <v>0.747</v>
      </c>
      <c r="C9" s="7">
        <v>0.747</v>
      </c>
      <c r="D9" s="7">
        <v>0.53600000000000003</v>
      </c>
      <c r="E9" s="7">
        <v>0.53600000000000003</v>
      </c>
      <c r="F9" s="8">
        <v>0.55200000000000005</v>
      </c>
      <c r="J9" s="76"/>
      <c r="K9" s="76"/>
      <c r="L9" s="76"/>
      <c r="M9" s="76"/>
      <c r="N9" s="76"/>
    </row>
    <row r="10" spans="1:14" x14ac:dyDescent="0.25">
      <c r="A10" s="89">
        <v>1000</v>
      </c>
      <c r="B10" s="87">
        <v>0.60199999999999998</v>
      </c>
      <c r="C10" s="7">
        <v>0.60199999999999998</v>
      </c>
      <c r="D10" s="7">
        <v>0.42199999999999999</v>
      </c>
      <c r="E10" s="7">
        <v>0.42199999999999999</v>
      </c>
      <c r="F10" s="8">
        <v>0.42599999999999999</v>
      </c>
      <c r="J10" s="76"/>
      <c r="K10" s="76"/>
      <c r="L10" s="76"/>
      <c r="M10" s="76"/>
    </row>
    <row r="11" spans="1:14" x14ac:dyDescent="0.25">
      <c r="A11" s="89">
        <v>2000</v>
      </c>
      <c r="B11" s="87">
        <v>0.51300000000000001</v>
      </c>
      <c r="C11" s="7">
        <v>0.51300000000000001</v>
      </c>
      <c r="D11" s="7">
        <v>0.35799999999999998</v>
      </c>
      <c r="E11" s="7">
        <v>0.35799999999999998</v>
      </c>
      <c r="F11" s="8">
        <v>0.35399999999999998</v>
      </c>
      <c r="J11" s="76"/>
      <c r="K11" s="76"/>
      <c r="L11" s="76"/>
      <c r="M11" s="76"/>
    </row>
    <row r="12" spans="1:14" x14ac:dyDescent="0.25">
      <c r="A12" s="89">
        <v>4000</v>
      </c>
      <c r="B12" s="87">
        <v>0.439</v>
      </c>
      <c r="C12" s="7">
        <v>0.439</v>
      </c>
      <c r="D12" s="7">
        <v>0.309</v>
      </c>
      <c r="E12" s="7">
        <v>0.309</v>
      </c>
      <c r="F12" s="8">
        <v>0.29799999999999999</v>
      </c>
      <c r="J12" s="76"/>
      <c r="K12" s="76"/>
      <c r="L12" s="76"/>
      <c r="M12" s="76"/>
      <c r="N12" s="76"/>
    </row>
    <row r="13" spans="1:14" x14ac:dyDescent="0.25">
      <c r="A13" s="89">
        <v>10000</v>
      </c>
      <c r="B13" s="87">
        <v>0.35799999999999998</v>
      </c>
      <c r="C13" s="7">
        <v>0.35799999999999998</v>
      </c>
      <c r="D13" s="7">
        <v>0.25900000000000001</v>
      </c>
      <c r="E13" s="7">
        <v>0.25900000000000001</v>
      </c>
      <c r="F13" s="8">
        <v>0.24199999999999999</v>
      </c>
      <c r="J13" s="76"/>
      <c r="K13" s="76"/>
      <c r="L13" s="76"/>
      <c r="M13" s="76"/>
    </row>
    <row r="14" spans="1:14" x14ac:dyDescent="0.25">
      <c r="A14" s="89">
        <v>20000</v>
      </c>
      <c r="B14" s="87">
        <v>0.309</v>
      </c>
      <c r="C14" s="7">
        <v>0.309</v>
      </c>
      <c r="D14" s="7">
        <v>0.23200000000000001</v>
      </c>
      <c r="E14" s="7">
        <v>0.23200000000000001</v>
      </c>
      <c r="F14" s="8">
        <v>0.21</v>
      </c>
      <c r="J14" s="76"/>
      <c r="K14" s="76"/>
      <c r="L14" s="76"/>
      <c r="M14" s="76"/>
    </row>
    <row r="15" spans="1:14" x14ac:dyDescent="0.25">
      <c r="A15" s="89">
        <v>40000</v>
      </c>
      <c r="B15" s="87">
        <v>0.26800000000000002</v>
      </c>
      <c r="C15" s="7">
        <v>0.26800000000000002</v>
      </c>
      <c r="D15" s="7">
        <v>0.21</v>
      </c>
      <c r="E15" s="7">
        <v>0.21</v>
      </c>
      <c r="F15" s="8">
        <v>0.185</v>
      </c>
      <c r="J15" s="76"/>
      <c r="K15" s="76"/>
      <c r="L15" s="76"/>
      <c r="M15" s="76"/>
      <c r="N15" s="76"/>
    </row>
    <row r="16" spans="1:14" x14ac:dyDescent="0.25">
      <c r="A16" s="89">
        <v>100000</v>
      </c>
      <c r="B16" s="87">
        <v>0.224</v>
      </c>
      <c r="C16" s="7">
        <v>0.224</v>
      </c>
      <c r="D16" s="7">
        <v>0.189</v>
      </c>
      <c r="E16" s="7">
        <v>0.189</v>
      </c>
      <c r="F16" s="8">
        <v>0.16</v>
      </c>
      <c r="J16" s="76"/>
      <c r="K16" s="76"/>
      <c r="L16" s="76"/>
      <c r="M16" s="76"/>
    </row>
    <row r="17" spans="1:14" x14ac:dyDescent="0.25">
      <c r="A17" s="89">
        <v>200000</v>
      </c>
      <c r="B17" s="87">
        <v>0.19600000000000001</v>
      </c>
      <c r="C17" s="7">
        <v>0.19600000000000001</v>
      </c>
      <c r="D17" s="7">
        <v>0.17699999999999999</v>
      </c>
      <c r="E17" s="7">
        <v>0.17699999999999999</v>
      </c>
      <c r="F17" s="8">
        <v>0.14599999999999999</v>
      </c>
      <c r="J17" s="76"/>
      <c r="K17" s="76"/>
      <c r="L17" s="76"/>
      <c r="M17" s="76"/>
    </row>
    <row r="18" spans="1:14" x14ac:dyDescent="0.25">
      <c r="A18" s="89">
        <v>400000</v>
      </c>
      <c r="B18" s="87">
        <v>0.17399999999999999</v>
      </c>
      <c r="C18" s="7">
        <v>0.17399999999999999</v>
      </c>
      <c r="D18" s="7">
        <v>0.16800000000000001</v>
      </c>
      <c r="E18" s="7">
        <v>0.16800000000000001</v>
      </c>
      <c r="F18" s="8">
        <v>0.13500000000000001</v>
      </c>
      <c r="J18" s="76"/>
      <c r="K18" s="76"/>
      <c r="L18" s="76"/>
      <c r="M18" s="76"/>
      <c r="N18" s="76"/>
    </row>
    <row r="19" spans="1:14" ht="15.75" thickBot="1" x14ac:dyDescent="0.3">
      <c r="A19" s="90">
        <v>1000000</v>
      </c>
      <c r="B19" s="88">
        <v>0.159</v>
      </c>
      <c r="C19" s="5">
        <v>0.159</v>
      </c>
      <c r="D19" s="5">
        <v>0.159</v>
      </c>
      <c r="E19" s="5">
        <v>0.159</v>
      </c>
      <c r="F19" s="6">
        <v>0.124</v>
      </c>
    </row>
  </sheetData>
  <mergeCells count="2">
    <mergeCell ref="A2:C2"/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59BE-600F-465A-9C73-696CD2164805}">
  <dimension ref="A1:L11"/>
  <sheetViews>
    <sheetView workbookViewId="0">
      <selection activeCell="K40" sqref="K40"/>
    </sheetView>
  </sheetViews>
  <sheetFormatPr defaultColWidth="8.85546875" defaultRowHeight="15" x14ac:dyDescent="0.25"/>
  <cols>
    <col min="1" max="1" width="8.85546875" style="1"/>
    <col min="2" max="2" width="9" style="1" customWidth="1"/>
    <col min="3" max="16384" width="8.85546875" style="1"/>
  </cols>
  <sheetData>
    <row r="1" spans="1:12" s="68" customFormat="1" x14ac:dyDescent="0.25">
      <c r="A1" s="67" t="s">
        <v>18</v>
      </c>
    </row>
    <row r="2" spans="1:12" s="68" customFormat="1" x14ac:dyDescent="0.25">
      <c r="B2" s="96" t="s">
        <v>15</v>
      </c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x14ac:dyDescent="0.25">
      <c r="A3" s="40" t="s">
        <v>12</v>
      </c>
      <c r="B3" s="67">
        <v>0</v>
      </c>
      <c r="C3" s="67">
        <v>0.5</v>
      </c>
      <c r="D3" s="67">
        <v>1</v>
      </c>
      <c r="E3" s="67">
        <v>1.5</v>
      </c>
      <c r="F3" s="67">
        <v>2</v>
      </c>
      <c r="G3" s="67">
        <v>2.5</v>
      </c>
      <c r="H3" s="67">
        <v>3</v>
      </c>
      <c r="I3" s="67">
        <v>3.5</v>
      </c>
      <c r="J3" s="67">
        <v>4</v>
      </c>
      <c r="K3" s="67">
        <v>4.5</v>
      </c>
      <c r="L3" s="67">
        <v>5</v>
      </c>
    </row>
    <row r="4" spans="1:12" s="37" customFormat="1" x14ac:dyDescent="0.25">
      <c r="A4" s="65">
        <v>0</v>
      </c>
      <c r="B4" s="70">
        <v>1.5</v>
      </c>
      <c r="C4" s="37">
        <v>1.5</v>
      </c>
      <c r="D4" s="37">
        <v>1.5</v>
      </c>
      <c r="E4" s="37">
        <v>1.5</v>
      </c>
      <c r="F4" s="37">
        <v>1.5</v>
      </c>
      <c r="G4" s="37">
        <v>1.5</v>
      </c>
      <c r="H4" s="37">
        <v>1.5</v>
      </c>
      <c r="I4" s="37">
        <v>1.5</v>
      </c>
      <c r="J4" s="37">
        <v>1.5</v>
      </c>
      <c r="K4" s="37">
        <v>1.5</v>
      </c>
      <c r="L4" s="37">
        <v>1.5</v>
      </c>
    </row>
    <row r="5" spans="1:12" x14ac:dyDescent="0.25">
      <c r="A5" s="67">
        <v>50</v>
      </c>
      <c r="B5" s="1">
        <v>1.5</v>
      </c>
      <c r="C5" s="1">
        <v>1.5</v>
      </c>
      <c r="D5" s="1">
        <v>1.5</v>
      </c>
      <c r="E5" s="1">
        <v>1.5</v>
      </c>
      <c r="F5" s="1">
        <v>1.5</v>
      </c>
      <c r="G5" s="1">
        <v>1.5</v>
      </c>
      <c r="H5" s="1">
        <v>1.5</v>
      </c>
      <c r="I5" s="1">
        <v>1.5</v>
      </c>
      <c r="J5" s="1">
        <v>1.5</v>
      </c>
      <c r="K5" s="1">
        <v>1.5</v>
      </c>
      <c r="L5" s="1">
        <v>1.5</v>
      </c>
    </row>
    <row r="6" spans="1:12" x14ac:dyDescent="0.25">
      <c r="A6" s="67">
        <v>100</v>
      </c>
      <c r="B6" s="1">
        <v>1.5</v>
      </c>
      <c r="C6" s="1">
        <v>1.5</v>
      </c>
      <c r="D6" s="1">
        <v>1.5</v>
      </c>
      <c r="E6" s="1">
        <v>1.5</v>
      </c>
      <c r="F6" s="1">
        <v>1.5</v>
      </c>
      <c r="G6" s="1">
        <v>1.5</v>
      </c>
      <c r="H6" s="1">
        <v>1.5</v>
      </c>
      <c r="I6" s="1">
        <v>1.5</v>
      </c>
      <c r="J6" s="1">
        <v>1.5</v>
      </c>
      <c r="K6" s="1">
        <v>1.5</v>
      </c>
      <c r="L6" s="1">
        <v>1.49</v>
      </c>
    </row>
    <row r="7" spans="1:12" x14ac:dyDescent="0.25">
      <c r="A7" s="67">
        <v>150</v>
      </c>
      <c r="B7" s="1">
        <v>1.5</v>
      </c>
      <c r="C7" s="1">
        <v>1.5</v>
      </c>
      <c r="D7" s="1">
        <v>1.5</v>
      </c>
      <c r="E7" s="1">
        <v>1.5</v>
      </c>
      <c r="F7" s="1">
        <v>1.5</v>
      </c>
      <c r="G7" s="1">
        <v>1.5</v>
      </c>
      <c r="H7" s="1">
        <v>1.5</v>
      </c>
      <c r="I7" s="1">
        <v>1.49</v>
      </c>
      <c r="J7" s="1">
        <v>1.49</v>
      </c>
      <c r="K7" s="1">
        <v>1.47</v>
      </c>
      <c r="L7" s="1">
        <v>1.22</v>
      </c>
    </row>
    <row r="8" spans="1:12" x14ac:dyDescent="0.25">
      <c r="A8" s="67">
        <v>200</v>
      </c>
      <c r="B8" s="1">
        <v>1.5</v>
      </c>
      <c r="C8" s="1">
        <v>1.5</v>
      </c>
      <c r="D8" s="1">
        <v>1.5</v>
      </c>
      <c r="E8" s="1">
        <v>1.5</v>
      </c>
      <c r="F8" s="1">
        <v>1.5</v>
      </c>
      <c r="G8" s="1">
        <v>1.5</v>
      </c>
      <c r="H8" s="1">
        <v>1.49</v>
      </c>
      <c r="I8" s="1">
        <v>1.47</v>
      </c>
      <c r="J8" s="1">
        <v>1.21</v>
      </c>
      <c r="K8" s="1">
        <v>1.21</v>
      </c>
      <c r="L8" s="1">
        <v>1.21</v>
      </c>
    </row>
    <row r="9" spans="1:12" x14ac:dyDescent="0.25">
      <c r="A9" s="67">
        <v>250</v>
      </c>
      <c r="B9" s="1">
        <v>1.5</v>
      </c>
      <c r="C9" s="1">
        <v>1.5</v>
      </c>
      <c r="D9" s="1">
        <v>1.5</v>
      </c>
      <c r="E9" s="1">
        <v>1.5</v>
      </c>
      <c r="F9" s="1">
        <v>1.49</v>
      </c>
      <c r="G9" s="1">
        <v>1.49</v>
      </c>
      <c r="H9" s="1">
        <v>1.47</v>
      </c>
      <c r="I9" s="1">
        <v>1.2</v>
      </c>
      <c r="J9" s="1">
        <v>1.2</v>
      </c>
      <c r="K9" s="1">
        <v>1.2</v>
      </c>
      <c r="L9" s="1">
        <v>1.19</v>
      </c>
    </row>
    <row r="10" spans="1:12" x14ac:dyDescent="0.25">
      <c r="A10" s="67">
        <v>300</v>
      </c>
      <c r="B10" s="1">
        <v>1.5</v>
      </c>
      <c r="C10" s="1">
        <v>1.5</v>
      </c>
      <c r="D10" s="1">
        <v>1.5</v>
      </c>
      <c r="E10" s="1">
        <v>1.5</v>
      </c>
      <c r="F10" s="1">
        <v>1.49</v>
      </c>
      <c r="G10" s="1">
        <v>1.48</v>
      </c>
      <c r="H10" s="1">
        <v>1.21</v>
      </c>
      <c r="I10" s="1">
        <v>1.2</v>
      </c>
      <c r="J10" s="1">
        <v>1.2</v>
      </c>
      <c r="K10" s="1">
        <v>1.19</v>
      </c>
      <c r="L10" s="1">
        <v>1.19</v>
      </c>
    </row>
    <row r="11" spans="1:12" x14ac:dyDescent="0.25">
      <c r="A11" s="67">
        <v>350</v>
      </c>
      <c r="B11" s="1">
        <v>1.5</v>
      </c>
      <c r="C11" s="1">
        <v>1.5</v>
      </c>
      <c r="D11" s="1">
        <v>1.5</v>
      </c>
      <c r="E11" s="1">
        <v>1.5</v>
      </c>
      <c r="F11" s="1">
        <v>1.49</v>
      </c>
      <c r="G11" s="1">
        <v>1.48</v>
      </c>
      <c r="H11" s="1">
        <v>1.2</v>
      </c>
      <c r="I11" s="1">
        <v>1.2</v>
      </c>
      <c r="J11" s="1">
        <v>1.19</v>
      </c>
      <c r="K11" s="1">
        <v>1.19</v>
      </c>
      <c r="L11" s="1">
        <v>1.19</v>
      </c>
    </row>
  </sheetData>
  <mergeCells count="1">
    <mergeCell ref="B2:L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B7B7-B490-4CD3-AB1A-AACEAE39BE05}">
  <dimension ref="A1:AV42"/>
  <sheetViews>
    <sheetView zoomScale="130" zoomScaleNormal="130" workbookViewId="0">
      <selection activeCell="A14" sqref="A14:C15"/>
    </sheetView>
  </sheetViews>
  <sheetFormatPr defaultColWidth="8.85546875" defaultRowHeight="15" x14ac:dyDescent="0.25"/>
  <cols>
    <col min="1" max="1" width="13.28515625" style="1" customWidth="1"/>
    <col min="2" max="2" width="13.28515625" style="64" customWidth="1"/>
    <col min="3" max="16384" width="8.85546875" style="1"/>
  </cols>
  <sheetData>
    <row r="1" spans="1:48" ht="15.75" thickBot="1" x14ac:dyDescent="0.3">
      <c r="A1" s="99" t="s">
        <v>33</v>
      </c>
      <c r="B1" s="100"/>
      <c r="C1" s="101"/>
    </row>
    <row r="2" spans="1:48" ht="15.75" thickBot="1" x14ac:dyDescent="0.3">
      <c r="A2" s="38"/>
      <c r="B2" s="97" t="s">
        <v>14</v>
      </c>
      <c r="C2" s="98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</row>
    <row r="3" spans="1:48" ht="15.75" thickBot="1" x14ac:dyDescent="0.3">
      <c r="A3" s="33" t="s">
        <v>12</v>
      </c>
      <c r="B3" s="73">
        <v>0</v>
      </c>
      <c r="C3" s="74">
        <v>100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</row>
    <row r="4" spans="1:48" x14ac:dyDescent="0.25">
      <c r="A4" s="66">
        <v>-200</v>
      </c>
      <c r="B4" s="66">
        <v>990</v>
      </c>
      <c r="C4" s="66">
        <v>990</v>
      </c>
      <c r="D4" s="66"/>
      <c r="E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</row>
    <row r="5" spans="1:48" x14ac:dyDescent="0.25">
      <c r="A5" s="66">
        <v>-150</v>
      </c>
      <c r="B5" s="66">
        <v>764</v>
      </c>
      <c r="C5" s="66">
        <v>764</v>
      </c>
      <c r="D5" s="66"/>
      <c r="E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</row>
    <row r="6" spans="1:48" x14ac:dyDescent="0.25">
      <c r="A6" s="66">
        <v>-100</v>
      </c>
      <c r="B6" s="66">
        <v>621</v>
      </c>
      <c r="C6" s="66">
        <v>621</v>
      </c>
      <c r="D6" s="66"/>
      <c r="E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</row>
    <row r="7" spans="1:48" x14ac:dyDescent="0.25">
      <c r="A7" s="66">
        <v>-50</v>
      </c>
      <c r="B7" s="66">
        <v>537</v>
      </c>
      <c r="C7" s="66">
        <v>537</v>
      </c>
      <c r="D7" s="66"/>
      <c r="E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</row>
    <row r="8" spans="1:48" x14ac:dyDescent="0.25">
      <c r="A8" s="76">
        <v>0</v>
      </c>
      <c r="B8" s="69">
        <v>492</v>
      </c>
      <c r="C8" s="76">
        <v>492</v>
      </c>
      <c r="D8" s="69"/>
      <c r="E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</row>
    <row r="9" spans="1:48" x14ac:dyDescent="0.25">
      <c r="A9" s="76">
        <v>20</v>
      </c>
      <c r="B9" s="69">
        <v>481</v>
      </c>
      <c r="C9" s="76">
        <v>481</v>
      </c>
      <c r="D9" s="69"/>
      <c r="E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</row>
    <row r="10" spans="1:48" x14ac:dyDescent="0.25">
      <c r="A10" s="76">
        <v>50</v>
      </c>
      <c r="B10" s="69">
        <v>470</v>
      </c>
      <c r="C10" s="76">
        <v>470</v>
      </c>
      <c r="D10" s="69"/>
      <c r="E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</row>
    <row r="11" spans="1:48" x14ac:dyDescent="0.25">
      <c r="A11" s="76">
        <v>100</v>
      </c>
      <c r="B11" s="69">
        <v>460</v>
      </c>
      <c r="C11" s="76">
        <v>460</v>
      </c>
      <c r="D11" s="69"/>
      <c r="E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</row>
    <row r="12" spans="1:48" x14ac:dyDescent="0.25">
      <c r="A12" s="76">
        <v>150</v>
      </c>
      <c r="B12" s="69">
        <v>455</v>
      </c>
      <c r="C12" s="76">
        <v>455</v>
      </c>
      <c r="D12" s="69"/>
      <c r="E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</row>
    <row r="13" spans="1:48" x14ac:dyDescent="0.25">
      <c r="A13" s="76">
        <v>200</v>
      </c>
      <c r="B13" s="69">
        <v>450</v>
      </c>
      <c r="C13" s="76">
        <v>450</v>
      </c>
      <c r="D13" s="69"/>
      <c r="E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</row>
    <row r="14" spans="1:48" x14ac:dyDescent="0.25">
      <c r="A14" s="76">
        <v>250</v>
      </c>
      <c r="B14" s="69">
        <v>441</v>
      </c>
      <c r="C14" s="76">
        <v>441</v>
      </c>
      <c r="D14" s="69"/>
      <c r="E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</row>
    <row r="15" spans="1:48" x14ac:dyDescent="0.25">
      <c r="A15" s="76">
        <v>300</v>
      </c>
      <c r="B15" s="69">
        <v>428</v>
      </c>
      <c r="C15" s="76">
        <v>428</v>
      </c>
      <c r="D15" s="69"/>
      <c r="E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</row>
    <row r="16" spans="1:48" x14ac:dyDescent="0.25">
      <c r="A16" s="76">
        <v>350</v>
      </c>
      <c r="B16" s="69">
        <v>411</v>
      </c>
      <c r="C16" s="76">
        <v>411</v>
      </c>
      <c r="D16" s="69"/>
      <c r="E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</row>
    <row r="17" spans="1:48" x14ac:dyDescent="0.25">
      <c r="A17" s="76">
        <v>400</v>
      </c>
      <c r="B17" s="69">
        <v>390</v>
      </c>
      <c r="C17" s="76">
        <v>390</v>
      </c>
      <c r="D17" s="69"/>
      <c r="E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</row>
    <row r="18" spans="1:48" x14ac:dyDescent="0.25">
      <c r="A18" s="76">
        <v>450</v>
      </c>
      <c r="B18" s="1">
        <v>365</v>
      </c>
      <c r="C18" s="76">
        <v>365</v>
      </c>
    </row>
    <row r="19" spans="1:48" x14ac:dyDescent="0.25">
      <c r="A19" s="76">
        <v>500</v>
      </c>
      <c r="B19" s="1">
        <v>336</v>
      </c>
      <c r="C19" s="76">
        <v>336</v>
      </c>
    </row>
    <row r="20" spans="1:48" x14ac:dyDescent="0.25">
      <c r="A20" s="76">
        <v>550</v>
      </c>
      <c r="B20" s="1">
        <v>300</v>
      </c>
      <c r="C20" s="76">
        <v>300</v>
      </c>
    </row>
    <row r="21" spans="1:48" x14ac:dyDescent="0.25">
      <c r="A21" s="76">
        <v>600</v>
      </c>
      <c r="B21" s="1">
        <v>255</v>
      </c>
      <c r="C21" s="76">
        <v>255</v>
      </c>
    </row>
    <row r="22" spans="1:48" x14ac:dyDescent="0.25">
      <c r="A22" s="1">
        <v>700</v>
      </c>
      <c r="B22" s="1">
        <v>107</v>
      </c>
      <c r="C22" s="76">
        <v>107</v>
      </c>
    </row>
    <row r="24" spans="1:48" x14ac:dyDescent="0.25">
      <c r="D24" s="69"/>
      <c r="E24" s="69"/>
      <c r="F24" s="69"/>
      <c r="G24" s="69"/>
      <c r="H24" s="69"/>
    </row>
    <row r="25" spans="1:48" x14ac:dyDescent="0.25">
      <c r="D25" s="69"/>
      <c r="E25" s="69"/>
      <c r="F25" s="69"/>
      <c r="G25" s="69"/>
      <c r="H25" s="69"/>
    </row>
    <row r="26" spans="1:48" x14ac:dyDescent="0.25">
      <c r="D26" s="69"/>
      <c r="E26" s="69"/>
      <c r="F26" s="69"/>
      <c r="G26" s="69"/>
      <c r="H26" s="69"/>
    </row>
    <row r="27" spans="1:48" x14ac:dyDescent="0.25">
      <c r="D27" s="69"/>
      <c r="E27" s="69"/>
      <c r="F27" s="69"/>
      <c r="G27" s="69"/>
      <c r="H27" s="69"/>
    </row>
    <row r="28" spans="1:48" x14ac:dyDescent="0.25">
      <c r="D28" s="69"/>
      <c r="E28" s="69"/>
      <c r="F28" s="69"/>
      <c r="G28" s="69"/>
      <c r="H28" s="69"/>
    </row>
    <row r="29" spans="1:48" x14ac:dyDescent="0.25">
      <c r="D29" s="69"/>
      <c r="E29" s="69"/>
      <c r="F29" s="69"/>
      <c r="G29" s="69"/>
      <c r="H29" s="69"/>
    </row>
    <row r="30" spans="1:48" x14ac:dyDescent="0.25">
      <c r="D30" s="69"/>
      <c r="E30" s="69"/>
      <c r="F30" s="69"/>
      <c r="G30" s="69"/>
      <c r="H30" s="69"/>
    </row>
    <row r="31" spans="1:48" x14ac:dyDescent="0.25">
      <c r="D31" s="69"/>
      <c r="E31" s="69"/>
      <c r="F31" s="69"/>
      <c r="G31" s="69"/>
      <c r="H31" s="69"/>
    </row>
    <row r="32" spans="1:48" x14ac:dyDescent="0.25">
      <c r="D32" s="69"/>
      <c r="E32" s="69"/>
      <c r="F32" s="69"/>
      <c r="G32" s="69"/>
      <c r="H32" s="69"/>
    </row>
    <row r="33" spans="4:8" x14ac:dyDescent="0.25">
      <c r="D33" s="69"/>
      <c r="E33" s="69"/>
      <c r="F33" s="69"/>
      <c r="G33" s="69"/>
      <c r="H33" s="69"/>
    </row>
    <row r="34" spans="4:8" x14ac:dyDescent="0.25">
      <c r="D34" s="69"/>
      <c r="E34" s="69"/>
      <c r="F34" s="69"/>
      <c r="G34" s="69"/>
      <c r="H34" s="69"/>
    </row>
    <row r="35" spans="4:8" x14ac:dyDescent="0.25">
      <c r="D35" s="69"/>
      <c r="E35" s="69"/>
      <c r="F35" s="69"/>
      <c r="G35" s="69"/>
      <c r="H35" s="69"/>
    </row>
    <row r="36" spans="4:8" x14ac:dyDescent="0.25">
      <c r="D36" s="69"/>
      <c r="E36" s="69"/>
      <c r="F36" s="69"/>
      <c r="G36" s="69"/>
      <c r="H36" s="69"/>
    </row>
    <row r="37" spans="4:8" x14ac:dyDescent="0.25">
      <c r="D37" s="69"/>
      <c r="E37" s="69"/>
      <c r="F37" s="69"/>
      <c r="G37" s="69"/>
      <c r="H37" s="69"/>
    </row>
    <row r="38" spans="4:8" x14ac:dyDescent="0.25">
      <c r="D38" s="69"/>
      <c r="E38" s="69"/>
      <c r="F38" s="69"/>
      <c r="G38" s="69"/>
      <c r="H38" s="69"/>
    </row>
    <row r="39" spans="4:8" x14ac:dyDescent="0.25">
      <c r="D39" s="69"/>
      <c r="E39" s="69"/>
      <c r="F39" s="69"/>
      <c r="G39" s="69"/>
      <c r="H39" s="69"/>
    </row>
    <row r="40" spans="4:8" x14ac:dyDescent="0.25">
      <c r="D40" s="69"/>
      <c r="E40" s="69"/>
      <c r="F40" s="69"/>
      <c r="G40" s="69"/>
      <c r="H40" s="69"/>
    </row>
    <row r="41" spans="4:8" x14ac:dyDescent="0.25">
      <c r="D41" s="69"/>
      <c r="E41" s="69"/>
      <c r="F41" s="69"/>
      <c r="G41" s="69"/>
      <c r="H41" s="69"/>
    </row>
    <row r="42" spans="4:8" x14ac:dyDescent="0.25">
      <c r="D42" s="69"/>
      <c r="E42" s="69"/>
      <c r="F42" s="69"/>
      <c r="G42" s="69"/>
      <c r="H42" s="69"/>
    </row>
  </sheetData>
  <mergeCells count="2">
    <mergeCell ref="A1:C1"/>
    <mergeCell ref="B2:C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EA90-152A-46FE-B2AA-E4F7C71C1828}">
  <dimension ref="A1:C22"/>
  <sheetViews>
    <sheetView workbookViewId="0">
      <selection activeCell="K10" sqref="K10"/>
    </sheetView>
  </sheetViews>
  <sheetFormatPr defaultRowHeight="15" x14ac:dyDescent="0.25"/>
  <sheetData>
    <row r="1" spans="1:3" x14ac:dyDescent="0.25">
      <c r="A1" s="76" t="s">
        <v>35</v>
      </c>
      <c r="B1" s="76"/>
      <c r="C1" s="76"/>
    </row>
    <row r="2" spans="1:3" x14ac:dyDescent="0.25">
      <c r="A2" s="76"/>
      <c r="B2" s="96" t="s">
        <v>15</v>
      </c>
      <c r="C2" s="96"/>
    </row>
    <row r="3" spans="1:3" x14ac:dyDescent="0.25">
      <c r="A3" s="80" t="s">
        <v>12</v>
      </c>
      <c r="B3" s="80">
        <v>0</v>
      </c>
      <c r="C3" s="80">
        <v>100</v>
      </c>
    </row>
    <row r="4" spans="1:3" x14ac:dyDescent="0.25">
      <c r="A4">
        <v>-200</v>
      </c>
      <c r="B4">
        <v>1093</v>
      </c>
      <c r="C4">
        <v>1093</v>
      </c>
    </row>
    <row r="5" spans="1:3" x14ac:dyDescent="0.25">
      <c r="A5">
        <v>-150</v>
      </c>
      <c r="B5">
        <v>843</v>
      </c>
      <c r="C5">
        <v>843</v>
      </c>
    </row>
    <row r="6" spans="1:3" x14ac:dyDescent="0.25">
      <c r="A6">
        <v>-100</v>
      </c>
      <c r="B6">
        <v>685</v>
      </c>
      <c r="C6">
        <v>685</v>
      </c>
    </row>
    <row r="7" spans="1:3" x14ac:dyDescent="0.25">
      <c r="A7">
        <v>-50</v>
      </c>
      <c r="B7">
        <v>593</v>
      </c>
      <c r="C7">
        <v>593</v>
      </c>
    </row>
    <row r="8" spans="1:3" x14ac:dyDescent="0.25">
      <c r="A8">
        <v>0</v>
      </c>
      <c r="B8">
        <v>543</v>
      </c>
      <c r="C8">
        <v>543</v>
      </c>
    </row>
    <row r="9" spans="1:3" x14ac:dyDescent="0.25">
      <c r="A9">
        <v>20</v>
      </c>
      <c r="B9">
        <v>531</v>
      </c>
      <c r="C9">
        <v>531</v>
      </c>
    </row>
    <row r="10" spans="1:3" x14ac:dyDescent="0.25">
      <c r="A10">
        <v>50</v>
      </c>
      <c r="B10">
        <v>519</v>
      </c>
      <c r="C10">
        <v>519</v>
      </c>
    </row>
    <row r="11" spans="1:3" x14ac:dyDescent="0.25">
      <c r="A11">
        <v>100</v>
      </c>
      <c r="B11">
        <v>508</v>
      </c>
      <c r="C11">
        <v>508</v>
      </c>
    </row>
    <row r="12" spans="1:3" x14ac:dyDescent="0.25">
      <c r="A12">
        <v>150</v>
      </c>
      <c r="B12">
        <v>503</v>
      </c>
      <c r="C12">
        <v>503</v>
      </c>
    </row>
    <row r="13" spans="1:3" x14ac:dyDescent="0.25">
      <c r="A13">
        <v>200</v>
      </c>
      <c r="B13">
        <v>497</v>
      </c>
      <c r="C13">
        <v>497</v>
      </c>
    </row>
    <row r="14" spans="1:3" x14ac:dyDescent="0.25">
      <c r="A14">
        <v>250</v>
      </c>
      <c r="B14">
        <v>487</v>
      </c>
      <c r="C14">
        <v>487</v>
      </c>
    </row>
    <row r="15" spans="1:3" x14ac:dyDescent="0.25">
      <c r="A15">
        <v>300</v>
      </c>
      <c r="B15">
        <v>473</v>
      </c>
      <c r="C15">
        <v>473</v>
      </c>
    </row>
    <row r="16" spans="1:3" x14ac:dyDescent="0.25">
      <c r="A16">
        <v>350</v>
      </c>
      <c r="B16">
        <v>454</v>
      </c>
      <c r="C16">
        <v>454</v>
      </c>
    </row>
    <row r="17" spans="1:3" x14ac:dyDescent="0.25">
      <c r="A17">
        <v>400</v>
      </c>
      <c r="B17">
        <v>430</v>
      </c>
      <c r="C17">
        <v>430</v>
      </c>
    </row>
    <row r="18" spans="1:3" x14ac:dyDescent="0.25">
      <c r="A18">
        <v>450</v>
      </c>
      <c r="B18">
        <v>403</v>
      </c>
      <c r="C18">
        <v>403</v>
      </c>
    </row>
    <row r="19" spans="1:3" x14ac:dyDescent="0.25">
      <c r="A19">
        <v>500</v>
      </c>
      <c r="B19">
        <v>371</v>
      </c>
      <c r="C19">
        <v>371</v>
      </c>
    </row>
    <row r="20" spans="1:3" x14ac:dyDescent="0.25">
      <c r="A20">
        <v>550</v>
      </c>
      <c r="B20">
        <v>332</v>
      </c>
      <c r="C20">
        <v>332</v>
      </c>
    </row>
    <row r="21" spans="1:3" x14ac:dyDescent="0.25">
      <c r="A21">
        <v>600</v>
      </c>
      <c r="B21">
        <v>282</v>
      </c>
      <c r="C21">
        <v>282</v>
      </c>
    </row>
    <row r="22" spans="1:3" x14ac:dyDescent="0.25">
      <c r="A22">
        <v>700</v>
      </c>
      <c r="B22">
        <v>118</v>
      </c>
      <c r="C22">
        <v>118</v>
      </c>
    </row>
  </sheetData>
  <mergeCells count="1"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6E78-4B6E-4E72-8283-E849FD84C2E5}">
  <dimension ref="A1:AW22"/>
  <sheetViews>
    <sheetView tabSelected="1" zoomScale="130" zoomScaleNormal="130" workbookViewId="0">
      <selection activeCell="A14" sqref="A14:C15"/>
    </sheetView>
  </sheetViews>
  <sheetFormatPr defaultColWidth="8.85546875" defaultRowHeight="15" x14ac:dyDescent="0.25"/>
  <cols>
    <col min="1" max="1" width="8.85546875" style="1"/>
    <col min="2" max="10" width="8.85546875" style="69"/>
    <col min="11" max="11" width="8.85546875" style="64"/>
    <col min="12" max="16384" width="8.85546875" style="1"/>
  </cols>
  <sheetData>
    <row r="1" spans="1:49" ht="15.75" thickBot="1" x14ac:dyDescent="0.3">
      <c r="A1" s="99" t="s">
        <v>34</v>
      </c>
      <c r="B1" s="100"/>
      <c r="C1" s="101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49" ht="15.75" thickBot="1" x14ac:dyDescent="0.3">
      <c r="A2" s="38"/>
      <c r="B2" s="97" t="s">
        <v>14</v>
      </c>
      <c r="C2" s="98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</row>
    <row r="3" spans="1:49" ht="15.75" thickBot="1" x14ac:dyDescent="0.3">
      <c r="A3" s="33" t="s">
        <v>12</v>
      </c>
      <c r="B3" s="73">
        <v>0</v>
      </c>
      <c r="C3" s="74">
        <v>100</v>
      </c>
    </row>
    <row r="4" spans="1:49" x14ac:dyDescent="0.25">
      <c r="A4" s="76">
        <v>-200</v>
      </c>
      <c r="B4" s="76">
        <v>1118</v>
      </c>
      <c r="C4" s="76">
        <v>1118</v>
      </c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</row>
    <row r="5" spans="1:49" x14ac:dyDescent="0.25">
      <c r="A5" s="76">
        <v>-150</v>
      </c>
      <c r="B5" s="76">
        <v>939</v>
      </c>
      <c r="C5" s="76">
        <v>939</v>
      </c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</row>
    <row r="6" spans="1:49" x14ac:dyDescent="0.25">
      <c r="A6" s="76">
        <v>-100</v>
      </c>
      <c r="B6" s="76">
        <v>813</v>
      </c>
      <c r="C6" s="76">
        <v>813</v>
      </c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</row>
    <row r="7" spans="1:49" x14ac:dyDescent="0.25">
      <c r="A7" s="76">
        <v>-50</v>
      </c>
      <c r="B7" s="76">
        <v>727</v>
      </c>
      <c r="C7" s="76">
        <v>727</v>
      </c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</row>
    <row r="8" spans="1:49" x14ac:dyDescent="0.25">
      <c r="A8" s="76">
        <v>0</v>
      </c>
      <c r="B8" s="76">
        <v>670</v>
      </c>
      <c r="C8" s="76">
        <v>670</v>
      </c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</row>
    <row r="9" spans="1:49" x14ac:dyDescent="0.25">
      <c r="A9" s="76">
        <v>20</v>
      </c>
      <c r="B9" s="76">
        <v>654</v>
      </c>
      <c r="C9" s="76">
        <v>654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</row>
    <row r="10" spans="1:49" x14ac:dyDescent="0.25">
      <c r="A10" s="76">
        <v>50</v>
      </c>
      <c r="B10" s="76">
        <v>634</v>
      </c>
      <c r="C10" s="76">
        <v>634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</row>
    <row r="11" spans="1:49" x14ac:dyDescent="0.25">
      <c r="A11" s="76">
        <v>100</v>
      </c>
      <c r="B11" s="76">
        <v>610</v>
      </c>
      <c r="C11" s="76">
        <v>610</v>
      </c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</row>
    <row r="12" spans="1:49" x14ac:dyDescent="0.25">
      <c r="A12" s="76">
        <v>150</v>
      </c>
      <c r="B12" s="76">
        <v>593</v>
      </c>
      <c r="C12" s="76">
        <v>593</v>
      </c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</row>
    <row r="13" spans="1:49" x14ac:dyDescent="0.25">
      <c r="A13" s="76">
        <v>200</v>
      </c>
      <c r="B13" s="76">
        <v>579</v>
      </c>
      <c r="C13" s="76">
        <v>579</v>
      </c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</row>
    <row r="14" spans="1:49" x14ac:dyDescent="0.25">
      <c r="A14" s="76">
        <v>250</v>
      </c>
      <c r="B14" s="76">
        <v>563</v>
      </c>
      <c r="C14" s="76">
        <v>563</v>
      </c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</row>
    <row r="15" spans="1:49" x14ac:dyDescent="0.25">
      <c r="A15" s="76">
        <v>300</v>
      </c>
      <c r="B15" s="76">
        <v>544</v>
      </c>
      <c r="C15" s="76">
        <v>544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</row>
    <row r="16" spans="1:49" x14ac:dyDescent="0.25">
      <c r="A16" s="76">
        <v>350</v>
      </c>
      <c r="B16" s="76">
        <v>519</v>
      </c>
      <c r="C16" s="76">
        <v>519</v>
      </c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</row>
    <row r="17" spans="1:49" x14ac:dyDescent="0.25">
      <c r="A17" s="76">
        <v>400</v>
      </c>
      <c r="B17" s="76">
        <v>489</v>
      </c>
      <c r="C17" s="76">
        <v>489</v>
      </c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</row>
    <row r="18" spans="1:49" x14ac:dyDescent="0.25">
      <c r="A18" s="76">
        <v>450</v>
      </c>
      <c r="B18" s="76">
        <v>451</v>
      </c>
      <c r="C18" s="76">
        <v>451</v>
      </c>
    </row>
    <row r="19" spans="1:49" x14ac:dyDescent="0.25">
      <c r="A19" s="76">
        <v>500</v>
      </c>
      <c r="B19" s="76">
        <v>405</v>
      </c>
      <c r="C19" s="76">
        <v>405</v>
      </c>
    </row>
    <row r="20" spans="1:49" x14ac:dyDescent="0.25">
      <c r="A20" s="76">
        <v>550</v>
      </c>
      <c r="B20" s="76">
        <v>352</v>
      </c>
      <c r="C20" s="76">
        <v>352</v>
      </c>
    </row>
    <row r="21" spans="1:49" x14ac:dyDescent="0.25">
      <c r="A21" s="76">
        <v>600</v>
      </c>
      <c r="B21" s="76">
        <v>291</v>
      </c>
      <c r="C21" s="76">
        <v>291</v>
      </c>
    </row>
    <row r="22" spans="1:49" x14ac:dyDescent="0.25">
      <c r="A22" s="76">
        <v>700</v>
      </c>
      <c r="B22" s="76">
        <v>140</v>
      </c>
      <c r="C22" s="76">
        <v>140</v>
      </c>
    </row>
  </sheetData>
  <mergeCells count="2">
    <mergeCell ref="B2:C2"/>
    <mergeCell ref="A1:C1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757A-8ADF-4E45-B0FD-F8E8977941F9}">
  <dimension ref="A1:L11"/>
  <sheetViews>
    <sheetView zoomScaleNormal="100" workbookViewId="0">
      <selection activeCell="N45" sqref="N45"/>
    </sheetView>
  </sheetViews>
  <sheetFormatPr defaultRowHeight="15" x14ac:dyDescent="0.25"/>
  <cols>
    <col min="1" max="1" width="11.5703125" customWidth="1"/>
  </cols>
  <sheetData>
    <row r="1" spans="1:12" x14ac:dyDescent="0.25">
      <c r="A1" t="s">
        <v>19</v>
      </c>
    </row>
    <row r="2" spans="1:12" x14ac:dyDescent="0.25">
      <c r="A2" s="42"/>
      <c r="B2" s="96" t="s">
        <v>15</v>
      </c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ht="15.75" thickBot="1" x14ac:dyDescent="0.3">
      <c r="A3" s="52" t="s">
        <v>12</v>
      </c>
      <c r="B3" s="53">
        <v>0</v>
      </c>
      <c r="C3" s="54">
        <v>0.5</v>
      </c>
      <c r="D3" s="54">
        <v>1</v>
      </c>
      <c r="E3" s="54">
        <v>1.5</v>
      </c>
      <c r="F3" s="54">
        <v>2</v>
      </c>
      <c r="G3" s="54">
        <v>2.5</v>
      </c>
      <c r="H3" s="54">
        <v>3</v>
      </c>
      <c r="I3" s="54">
        <v>3.5</v>
      </c>
      <c r="J3" s="54">
        <v>4</v>
      </c>
      <c r="K3" s="54">
        <v>4.5</v>
      </c>
      <c r="L3" s="55">
        <v>5</v>
      </c>
    </row>
    <row r="4" spans="1:12" ht="15.75" thickBot="1" x14ac:dyDescent="0.3">
      <c r="A4" s="56">
        <v>20</v>
      </c>
      <c r="B4" s="43" t="s">
        <v>16</v>
      </c>
      <c r="C4" s="44" t="s">
        <v>16</v>
      </c>
      <c r="D4" s="44" t="s">
        <v>16</v>
      </c>
      <c r="E4" s="44" t="s">
        <v>16</v>
      </c>
      <c r="F4" s="44" t="s">
        <v>16</v>
      </c>
      <c r="G4" s="44" t="s">
        <v>16</v>
      </c>
      <c r="H4" s="44" t="s">
        <v>16</v>
      </c>
      <c r="I4" s="44" t="s">
        <v>16</v>
      </c>
      <c r="J4" s="44" t="s">
        <v>16</v>
      </c>
      <c r="K4" s="44" t="s">
        <v>16</v>
      </c>
      <c r="L4" s="45" t="s">
        <v>16</v>
      </c>
    </row>
    <row r="5" spans="1:12" ht="15.75" thickBot="1" x14ac:dyDescent="0.3">
      <c r="A5" s="57">
        <v>50</v>
      </c>
      <c r="B5" s="46" t="s">
        <v>16</v>
      </c>
      <c r="C5" s="47" t="s">
        <v>16</v>
      </c>
      <c r="D5" s="47" t="s">
        <v>16</v>
      </c>
      <c r="E5" s="47" t="s">
        <v>16</v>
      </c>
      <c r="F5" s="47" t="s">
        <v>16</v>
      </c>
      <c r="G5" s="47" t="s">
        <v>16</v>
      </c>
      <c r="H5" s="47" t="s">
        <v>16</v>
      </c>
      <c r="I5" s="47" t="s">
        <v>16</v>
      </c>
      <c r="J5" s="47" t="s">
        <v>16</v>
      </c>
      <c r="K5" s="47" t="s">
        <v>16</v>
      </c>
      <c r="L5" s="59" t="s">
        <v>16</v>
      </c>
    </row>
    <row r="6" spans="1:12" ht="15.75" thickBot="1" x14ac:dyDescent="0.3">
      <c r="A6" s="57">
        <v>100</v>
      </c>
      <c r="B6" s="46" t="s">
        <v>16</v>
      </c>
      <c r="C6" s="47" t="s">
        <v>16</v>
      </c>
      <c r="D6" s="47" t="s">
        <v>16</v>
      </c>
      <c r="E6" s="47" t="s">
        <v>16</v>
      </c>
      <c r="F6" s="47" t="s">
        <v>16</v>
      </c>
      <c r="G6" s="47" t="s">
        <v>16</v>
      </c>
      <c r="H6" s="47" t="s">
        <v>16</v>
      </c>
      <c r="I6" s="47" t="s">
        <v>16</v>
      </c>
      <c r="J6" s="47" t="s">
        <v>16</v>
      </c>
      <c r="K6" s="47" t="s">
        <v>16</v>
      </c>
      <c r="L6" s="59" t="s">
        <v>16</v>
      </c>
    </row>
    <row r="7" spans="1:12" ht="15.75" thickBot="1" x14ac:dyDescent="0.3">
      <c r="A7" s="57">
        <v>150</v>
      </c>
      <c r="B7" s="46" t="s">
        <v>16</v>
      </c>
      <c r="C7" s="47" t="s">
        <v>16</v>
      </c>
      <c r="D7" s="47" t="s">
        <v>16</v>
      </c>
      <c r="E7" s="47" t="s">
        <v>16</v>
      </c>
      <c r="F7" s="47" t="s">
        <v>16</v>
      </c>
      <c r="G7" s="47" t="s">
        <v>16</v>
      </c>
      <c r="H7" s="47" t="s">
        <v>16</v>
      </c>
      <c r="I7" s="47" t="s">
        <v>16</v>
      </c>
      <c r="J7" s="47" t="s">
        <v>16</v>
      </c>
      <c r="K7" s="60">
        <v>411.01</v>
      </c>
      <c r="L7" s="61">
        <v>411.02</v>
      </c>
    </row>
    <row r="8" spans="1:12" ht="15.75" thickBot="1" x14ac:dyDescent="0.3">
      <c r="A8" s="57">
        <v>200</v>
      </c>
      <c r="B8" s="46" t="s">
        <v>16</v>
      </c>
      <c r="C8" s="47" t="s">
        <v>16</v>
      </c>
      <c r="D8" s="47" t="s">
        <v>16</v>
      </c>
      <c r="E8" s="47" t="s">
        <v>16</v>
      </c>
      <c r="F8" s="47" t="s">
        <v>16</v>
      </c>
      <c r="G8" s="47" t="s">
        <v>16</v>
      </c>
      <c r="H8" s="47" t="s">
        <v>16</v>
      </c>
      <c r="I8" s="48">
        <v>419</v>
      </c>
      <c r="J8" s="48">
        <v>423</v>
      </c>
      <c r="K8" s="48">
        <v>427</v>
      </c>
      <c r="L8" s="49">
        <v>429</v>
      </c>
    </row>
    <row r="9" spans="1:12" ht="15.75" thickBot="1" x14ac:dyDescent="0.3">
      <c r="A9" s="57">
        <v>250</v>
      </c>
      <c r="B9" s="46" t="s">
        <v>16</v>
      </c>
      <c r="C9" s="47" t="s">
        <v>16</v>
      </c>
      <c r="D9" s="47" t="s">
        <v>16</v>
      </c>
      <c r="E9" s="47" t="s">
        <v>16</v>
      </c>
      <c r="F9" s="47" t="s">
        <v>16</v>
      </c>
      <c r="G9" s="47" t="s">
        <v>16</v>
      </c>
      <c r="H9" s="60">
        <v>419.01</v>
      </c>
      <c r="I9" s="60">
        <v>427.01</v>
      </c>
      <c r="J9" s="60">
        <v>435.01</v>
      </c>
      <c r="K9" s="60">
        <v>442.01</v>
      </c>
      <c r="L9" s="61">
        <v>449.01</v>
      </c>
    </row>
    <row r="10" spans="1:12" ht="15.75" thickBot="1" x14ac:dyDescent="0.3">
      <c r="A10" s="57">
        <v>300</v>
      </c>
      <c r="B10" s="46" t="s">
        <v>16</v>
      </c>
      <c r="C10" s="47" t="s">
        <v>16</v>
      </c>
      <c r="D10" s="47" t="s">
        <v>16</v>
      </c>
      <c r="E10" s="47" t="s">
        <v>16</v>
      </c>
      <c r="F10" s="47" t="s">
        <v>16</v>
      </c>
      <c r="G10" s="47" t="s">
        <v>16</v>
      </c>
      <c r="H10" s="60">
        <v>419.02</v>
      </c>
      <c r="I10" s="60">
        <v>427.02</v>
      </c>
      <c r="J10" s="60">
        <v>435.02</v>
      </c>
      <c r="K10" s="60">
        <v>442.02</v>
      </c>
      <c r="L10" s="61">
        <v>449.02</v>
      </c>
    </row>
    <row r="11" spans="1:12" ht="15.75" thickBot="1" x14ac:dyDescent="0.3">
      <c r="A11" s="58">
        <v>350</v>
      </c>
      <c r="B11" s="50" t="s">
        <v>16</v>
      </c>
      <c r="C11" s="62" t="s">
        <v>16</v>
      </c>
      <c r="D11" s="62" t="s">
        <v>16</v>
      </c>
      <c r="E11" s="62" t="s">
        <v>16</v>
      </c>
      <c r="F11" s="62" t="s">
        <v>16</v>
      </c>
      <c r="G11" s="62" t="s">
        <v>16</v>
      </c>
      <c r="H11" s="41">
        <v>419.03</v>
      </c>
      <c r="I11" s="41">
        <v>427.03</v>
      </c>
      <c r="J11" s="41">
        <v>435.03</v>
      </c>
      <c r="K11" s="41">
        <v>442.03</v>
      </c>
      <c r="L11" s="63">
        <v>449.03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D92A-97ED-46FD-B28E-A85C9172A402}">
  <dimension ref="A1:L11"/>
  <sheetViews>
    <sheetView workbookViewId="0">
      <selection activeCell="K5" sqref="K5"/>
    </sheetView>
  </sheetViews>
  <sheetFormatPr defaultRowHeight="15" x14ac:dyDescent="0.25"/>
  <sheetData>
    <row r="1" spans="1:12" x14ac:dyDescent="0.25">
      <c r="A1" t="s">
        <v>17</v>
      </c>
    </row>
    <row r="2" spans="1:12" x14ac:dyDescent="0.25">
      <c r="A2" s="42"/>
      <c r="B2" s="96" t="s">
        <v>14</v>
      </c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ht="15.75" thickBot="1" x14ac:dyDescent="0.3">
      <c r="A3" s="52" t="s">
        <v>12</v>
      </c>
      <c r="B3" s="53">
        <v>0</v>
      </c>
      <c r="C3" s="54">
        <v>0.5</v>
      </c>
      <c r="D3" s="54">
        <v>1</v>
      </c>
      <c r="E3" s="54">
        <v>1.5</v>
      </c>
      <c r="F3" s="54">
        <v>2</v>
      </c>
      <c r="G3" s="54">
        <v>2.5</v>
      </c>
      <c r="H3" s="54">
        <v>3</v>
      </c>
      <c r="I3" s="54">
        <v>3.5</v>
      </c>
      <c r="J3" s="54">
        <v>4</v>
      </c>
      <c r="K3" s="54">
        <v>4.5</v>
      </c>
      <c r="L3" s="55">
        <v>5</v>
      </c>
    </row>
    <row r="4" spans="1:12" ht="15.75" thickBot="1" x14ac:dyDescent="0.3">
      <c r="A4" s="56">
        <v>20</v>
      </c>
      <c r="B4" s="43" t="s">
        <v>16</v>
      </c>
      <c r="C4" s="44" t="s">
        <v>16</v>
      </c>
      <c r="D4" s="44" t="s">
        <v>16</v>
      </c>
      <c r="E4" s="44" t="s">
        <v>16</v>
      </c>
      <c r="F4" s="44" t="s">
        <v>16</v>
      </c>
      <c r="G4" s="44" t="s">
        <v>16</v>
      </c>
      <c r="H4" s="44" t="s">
        <v>16</v>
      </c>
      <c r="I4" s="44" t="s">
        <v>16</v>
      </c>
      <c r="J4" s="44" t="s">
        <v>16</v>
      </c>
      <c r="K4" s="44" t="s">
        <v>16</v>
      </c>
      <c r="L4" s="45" t="s">
        <v>16</v>
      </c>
    </row>
    <row r="5" spans="1:12" ht="15.75" thickBot="1" x14ac:dyDescent="0.3">
      <c r="A5" s="57">
        <v>50</v>
      </c>
      <c r="B5" s="46" t="s">
        <v>16</v>
      </c>
      <c r="C5" s="47" t="s">
        <v>16</v>
      </c>
      <c r="D5" s="47" t="s">
        <v>16</v>
      </c>
      <c r="E5" s="47" t="s">
        <v>16</v>
      </c>
      <c r="F5" s="47" t="s">
        <v>16</v>
      </c>
      <c r="G5" s="47" t="s">
        <v>16</v>
      </c>
      <c r="H5" s="47" t="s">
        <v>16</v>
      </c>
      <c r="I5" s="47" t="s">
        <v>16</v>
      </c>
      <c r="J5" s="47" t="s">
        <v>16</v>
      </c>
      <c r="K5" s="48">
        <v>936</v>
      </c>
      <c r="L5" s="49">
        <v>846</v>
      </c>
    </row>
    <row r="6" spans="1:12" ht="15.75" thickBot="1" x14ac:dyDescent="0.3">
      <c r="A6" s="57">
        <v>100</v>
      </c>
      <c r="B6" s="46" t="s">
        <v>16</v>
      </c>
      <c r="C6" s="47" t="s">
        <v>16</v>
      </c>
      <c r="D6" s="47" t="s">
        <v>16</v>
      </c>
      <c r="E6" s="47" t="s">
        <v>16</v>
      </c>
      <c r="F6" s="47" t="s">
        <v>16</v>
      </c>
      <c r="G6" s="47" t="s">
        <v>16</v>
      </c>
      <c r="H6" s="48">
        <v>865</v>
      </c>
      <c r="I6" s="48">
        <v>736</v>
      </c>
      <c r="J6" s="48">
        <v>615</v>
      </c>
      <c r="K6" s="48">
        <v>503</v>
      </c>
      <c r="L6" s="49">
        <v>398</v>
      </c>
    </row>
    <row r="7" spans="1:12" ht="15.75" thickBot="1" x14ac:dyDescent="0.3">
      <c r="A7" s="57">
        <v>150</v>
      </c>
      <c r="B7" s="46" t="s">
        <v>16</v>
      </c>
      <c r="C7" s="47" t="s">
        <v>16</v>
      </c>
      <c r="D7" s="47" t="s">
        <v>16</v>
      </c>
      <c r="E7" s="48">
        <v>1000</v>
      </c>
      <c r="F7" s="48">
        <v>835</v>
      </c>
      <c r="G7" s="48">
        <v>678</v>
      </c>
      <c r="H7" s="48">
        <v>536</v>
      </c>
      <c r="I7" s="48">
        <v>402</v>
      </c>
      <c r="J7" s="48">
        <v>276</v>
      </c>
      <c r="K7" s="48">
        <v>205</v>
      </c>
      <c r="L7" s="49">
        <v>205</v>
      </c>
    </row>
    <row r="8" spans="1:12" ht="15.75" thickBot="1" x14ac:dyDescent="0.3">
      <c r="A8" s="57">
        <v>200</v>
      </c>
      <c r="B8" s="46" t="s">
        <v>16</v>
      </c>
      <c r="C8" s="47" t="s">
        <v>16</v>
      </c>
      <c r="D8" s="48">
        <v>932</v>
      </c>
      <c r="E8" s="48">
        <v>760</v>
      </c>
      <c r="F8" s="48">
        <v>594</v>
      </c>
      <c r="G8" s="48">
        <v>444</v>
      </c>
      <c r="H8" s="48">
        <v>292</v>
      </c>
      <c r="I8" s="48">
        <v>210</v>
      </c>
      <c r="J8" s="48">
        <v>212</v>
      </c>
      <c r="K8" s="48">
        <v>213</v>
      </c>
      <c r="L8" s="49">
        <v>215</v>
      </c>
    </row>
    <row r="9" spans="1:12" ht="15.75" thickBot="1" x14ac:dyDescent="0.3">
      <c r="A9" s="57">
        <v>250</v>
      </c>
      <c r="B9" s="46" t="s">
        <v>16</v>
      </c>
      <c r="C9" s="48">
        <v>940</v>
      </c>
      <c r="D9" s="48">
        <v>765</v>
      </c>
      <c r="E9" s="48">
        <v>595</v>
      </c>
      <c r="F9" s="48">
        <v>438</v>
      </c>
      <c r="G9" s="48">
        <v>287</v>
      </c>
      <c r="H9" s="48">
        <v>209</v>
      </c>
      <c r="I9" s="48">
        <v>214</v>
      </c>
      <c r="J9" s="48">
        <v>218</v>
      </c>
      <c r="K9" s="48">
        <v>221</v>
      </c>
      <c r="L9" s="49">
        <v>224</v>
      </c>
    </row>
    <row r="10" spans="1:12" ht="15.75" thickBot="1" x14ac:dyDescent="0.3">
      <c r="A10" s="57">
        <v>300</v>
      </c>
      <c r="B10" s="46" t="s">
        <v>16</v>
      </c>
      <c r="C10" s="48">
        <v>871</v>
      </c>
      <c r="D10" s="48">
        <v>694</v>
      </c>
      <c r="E10" s="48">
        <v>527</v>
      </c>
      <c r="F10" s="48">
        <v>366</v>
      </c>
      <c r="G10" s="48">
        <v>211</v>
      </c>
      <c r="H10" s="48">
        <v>209</v>
      </c>
      <c r="I10" s="48">
        <v>214</v>
      </c>
      <c r="J10" s="48">
        <v>218</v>
      </c>
      <c r="K10" s="48">
        <v>221</v>
      </c>
      <c r="L10" s="49">
        <v>224</v>
      </c>
    </row>
    <row r="11" spans="1:12" ht="15.75" thickBot="1" x14ac:dyDescent="0.3">
      <c r="A11" s="58">
        <v>350</v>
      </c>
      <c r="B11" s="50" t="s">
        <v>16</v>
      </c>
      <c r="C11" s="28">
        <v>877</v>
      </c>
      <c r="D11" s="28">
        <v>696</v>
      </c>
      <c r="E11" s="28">
        <v>527</v>
      </c>
      <c r="F11" s="28">
        <v>363</v>
      </c>
      <c r="G11" s="28">
        <v>211</v>
      </c>
      <c r="H11" s="28">
        <v>209</v>
      </c>
      <c r="I11" s="28">
        <v>214</v>
      </c>
      <c r="J11" s="28">
        <v>218</v>
      </c>
      <c r="K11" s="28">
        <v>221</v>
      </c>
      <c r="L11" s="51">
        <v>224</v>
      </c>
    </row>
  </sheetData>
  <mergeCells count="1">
    <mergeCell ref="B2:L2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>
      <selection activeCell="C12" sqref="C12"/>
    </sheetView>
  </sheetViews>
  <sheetFormatPr defaultColWidth="8.85546875" defaultRowHeight="15" x14ac:dyDescent="0.25"/>
  <cols>
    <col min="1" max="16384" width="8.85546875" style="2"/>
  </cols>
  <sheetData>
    <row r="1" spans="1:15" ht="15.75" thickBot="1" x14ac:dyDescent="0.3">
      <c r="A1" s="11" t="s">
        <v>8</v>
      </c>
      <c r="B1" s="107" t="s">
        <v>6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</row>
    <row r="2" spans="1:15" ht="15.75" thickBot="1" x14ac:dyDescent="0.3">
      <c r="A2" s="12" t="s">
        <v>0</v>
      </c>
      <c r="B2" s="13">
        <v>100000000</v>
      </c>
      <c r="C2" s="14">
        <v>200000000</v>
      </c>
      <c r="D2" s="15">
        <v>300000000</v>
      </c>
      <c r="E2" s="14">
        <v>400000000</v>
      </c>
      <c r="F2" s="14">
        <v>500000000</v>
      </c>
      <c r="G2" s="15">
        <v>600000000</v>
      </c>
      <c r="H2" s="14">
        <v>700000000</v>
      </c>
      <c r="I2" s="14">
        <v>800000000</v>
      </c>
      <c r="J2" s="15">
        <v>900000000</v>
      </c>
      <c r="K2" s="14">
        <v>1000000000</v>
      </c>
      <c r="L2" s="14">
        <v>1100000000</v>
      </c>
      <c r="M2" s="15">
        <v>1200000000</v>
      </c>
      <c r="N2" s="14">
        <v>1300000000</v>
      </c>
      <c r="O2" s="14">
        <v>1400000000</v>
      </c>
    </row>
    <row r="3" spans="1:15" x14ac:dyDescent="0.25">
      <c r="A3" s="16">
        <v>20</v>
      </c>
      <c r="B3" s="17">
        <v>1</v>
      </c>
      <c r="C3" s="18">
        <v>1</v>
      </c>
      <c r="D3" s="18">
        <v>1</v>
      </c>
      <c r="E3" s="18">
        <v>1</v>
      </c>
      <c r="F3" s="18">
        <v>1.02</v>
      </c>
      <c r="G3" s="18">
        <v>1.05</v>
      </c>
      <c r="H3" s="18">
        <v>1.1100000000000001</v>
      </c>
      <c r="I3" s="18">
        <v>1.17</v>
      </c>
      <c r="J3" s="18">
        <v>1.25</v>
      </c>
      <c r="K3" s="18">
        <v>1.32</v>
      </c>
      <c r="L3" s="18">
        <v>1.4</v>
      </c>
      <c r="M3" s="18">
        <v>1.48</v>
      </c>
      <c r="N3" s="18">
        <v>1.56</v>
      </c>
      <c r="O3" s="18">
        <v>1.64</v>
      </c>
    </row>
    <row r="4" spans="1:15" x14ac:dyDescent="0.25">
      <c r="A4" s="91">
        <v>300</v>
      </c>
      <c r="B4" s="92">
        <v>1</v>
      </c>
      <c r="C4" s="93">
        <v>1</v>
      </c>
      <c r="D4" s="93">
        <v>1</v>
      </c>
      <c r="E4" s="93">
        <v>1.01</v>
      </c>
      <c r="F4" s="93">
        <v>1.05</v>
      </c>
      <c r="G4" s="93">
        <v>1.1100000000000001</v>
      </c>
      <c r="H4" s="93">
        <v>1.19</v>
      </c>
      <c r="I4" s="93">
        <v>1.29</v>
      </c>
      <c r="J4" s="93">
        <v>1.38</v>
      </c>
      <c r="K4" s="93">
        <v>1.48</v>
      </c>
      <c r="L4" s="93">
        <v>1.58</v>
      </c>
      <c r="M4" s="93">
        <v>1.68</v>
      </c>
      <c r="N4" s="93">
        <v>1.78</v>
      </c>
      <c r="O4" s="93">
        <v>1.88</v>
      </c>
    </row>
    <row r="5" spans="1:15" x14ac:dyDescent="0.25">
      <c r="A5" s="91">
        <v>450</v>
      </c>
      <c r="B5" s="92">
        <v>1</v>
      </c>
      <c r="C5" s="93">
        <v>1</v>
      </c>
      <c r="D5" s="93">
        <v>1</v>
      </c>
      <c r="E5" s="93">
        <v>1.01</v>
      </c>
      <c r="F5" s="93">
        <v>1.04</v>
      </c>
      <c r="G5" s="93">
        <v>1.1200000000000001</v>
      </c>
      <c r="H5" s="93">
        <v>1.23</v>
      </c>
      <c r="I5" s="93">
        <v>1.34</v>
      </c>
      <c r="J5" s="93">
        <v>1.46</v>
      </c>
      <c r="K5" s="93">
        <v>1.58</v>
      </c>
      <c r="L5" s="93">
        <v>1.7</v>
      </c>
      <c r="M5" s="93">
        <v>1.82</v>
      </c>
      <c r="N5" s="93">
        <v>1.94</v>
      </c>
      <c r="O5" s="93">
        <v>2.06</v>
      </c>
    </row>
    <row r="6" spans="1:15" x14ac:dyDescent="0.25">
      <c r="A6" s="91">
        <v>500</v>
      </c>
      <c r="B6" s="92">
        <v>1</v>
      </c>
      <c r="C6" s="93">
        <v>1</v>
      </c>
      <c r="D6" s="93">
        <v>1</v>
      </c>
      <c r="E6" s="93">
        <v>1.01</v>
      </c>
      <c r="F6" s="93">
        <v>1.07</v>
      </c>
      <c r="G6" s="93">
        <v>1.18</v>
      </c>
      <c r="H6" s="93">
        <v>1.3</v>
      </c>
      <c r="I6" s="93">
        <v>1.44</v>
      </c>
      <c r="J6" s="93">
        <v>1.58</v>
      </c>
      <c r="K6" s="93">
        <v>1.71</v>
      </c>
      <c r="L6" s="93">
        <v>1.85</v>
      </c>
      <c r="M6" s="93">
        <v>1.99</v>
      </c>
      <c r="N6" s="93">
        <v>2.12</v>
      </c>
      <c r="O6" s="93">
        <v>2.2599999999999998</v>
      </c>
    </row>
    <row r="7" spans="1:15" ht="15.75" thickBot="1" x14ac:dyDescent="0.3">
      <c r="A7" s="19">
        <v>550</v>
      </c>
      <c r="B7" s="92">
        <v>1</v>
      </c>
      <c r="C7" s="92">
        <v>1</v>
      </c>
      <c r="D7" s="20">
        <v>1.01</v>
      </c>
      <c r="E7" s="20">
        <v>1.0900000000000001</v>
      </c>
      <c r="F7" s="20">
        <v>1.23</v>
      </c>
      <c r="G7" s="20">
        <v>1.38</v>
      </c>
      <c r="H7" s="20">
        <v>1.54</v>
      </c>
      <c r="I7" s="20">
        <v>1.7</v>
      </c>
      <c r="J7" s="20">
        <v>1.86</v>
      </c>
      <c r="K7" s="20">
        <v>2.02</v>
      </c>
      <c r="L7" s="20">
        <v>2.1800000000000002</v>
      </c>
      <c r="M7" s="20">
        <v>2.33</v>
      </c>
      <c r="N7" s="20">
        <v>2.4900000000000002</v>
      </c>
      <c r="O7" s="20">
        <v>2.64</v>
      </c>
    </row>
  </sheetData>
  <mergeCells count="1">
    <mergeCell ref="B1:O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>
      <selection activeCell="F18" sqref="F18"/>
    </sheetView>
  </sheetViews>
  <sheetFormatPr defaultColWidth="8.85546875" defaultRowHeight="15" x14ac:dyDescent="0.25"/>
  <cols>
    <col min="1" max="16384" width="8.85546875" style="2"/>
  </cols>
  <sheetData>
    <row r="1" spans="1:14" ht="15.75" thickBot="1" x14ac:dyDescent="0.3">
      <c r="A1" s="11" t="s">
        <v>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26"/>
    </row>
    <row r="2" spans="1:14" ht="15.75" thickBot="1" x14ac:dyDescent="0.3">
      <c r="A2" s="12" t="s">
        <v>0</v>
      </c>
      <c r="B2" s="15">
        <v>300000000</v>
      </c>
      <c r="C2" s="14">
        <v>400000000</v>
      </c>
      <c r="D2" s="14">
        <v>500000000</v>
      </c>
      <c r="E2" s="15">
        <v>600000000</v>
      </c>
      <c r="F2" s="14">
        <v>700000000</v>
      </c>
      <c r="G2" s="14">
        <v>800000000</v>
      </c>
      <c r="H2" s="15">
        <v>900000000</v>
      </c>
      <c r="I2" s="14">
        <v>1000000000</v>
      </c>
      <c r="J2" s="14">
        <v>1100000000</v>
      </c>
      <c r="K2" s="15">
        <v>1200000000</v>
      </c>
      <c r="L2" s="14">
        <v>1300000000</v>
      </c>
      <c r="M2" s="14">
        <v>1400000000</v>
      </c>
      <c r="N2" s="14">
        <v>1500000000</v>
      </c>
    </row>
    <row r="3" spans="1:14" x14ac:dyDescent="0.25">
      <c r="A3" s="16">
        <v>20</v>
      </c>
      <c r="B3" s="21">
        <v>1.0009999999999999</v>
      </c>
      <c r="C3" s="21">
        <v>1.004</v>
      </c>
      <c r="D3" s="21">
        <v>1.014</v>
      </c>
      <c r="E3" s="21">
        <v>1.0369999999999999</v>
      </c>
      <c r="F3" s="21">
        <v>1.0740000000000001</v>
      </c>
      <c r="G3" s="21">
        <v>1.105</v>
      </c>
      <c r="H3" s="21">
        <v>1.135</v>
      </c>
      <c r="I3" s="21">
        <v>1.1659999999999999</v>
      </c>
      <c r="J3" s="21">
        <v>1.194</v>
      </c>
      <c r="K3" s="21">
        <v>1.218</v>
      </c>
      <c r="L3" s="21">
        <v>1.242</v>
      </c>
      <c r="M3" s="21">
        <v>1.2609999999999999</v>
      </c>
      <c r="N3" s="21">
        <v>1.2789999999999999</v>
      </c>
    </row>
    <row r="4" spans="1:14" x14ac:dyDescent="0.25">
      <c r="A4" s="94">
        <v>300</v>
      </c>
      <c r="B4" s="21">
        <v>1.0009999999999999</v>
      </c>
      <c r="C4" s="21">
        <v>1.0169999999999999</v>
      </c>
      <c r="D4" s="21">
        <v>1.0369999999999999</v>
      </c>
      <c r="E4" s="21">
        <v>1.0680000000000001</v>
      </c>
      <c r="F4" s="21">
        <v>1.1120000000000001</v>
      </c>
      <c r="G4" s="21">
        <v>1.1519999999999999</v>
      </c>
      <c r="H4" s="21">
        <v>1.1859999999999999</v>
      </c>
      <c r="I4" s="21">
        <v>1.218</v>
      </c>
      <c r="J4" s="21">
        <v>1.246</v>
      </c>
      <c r="K4" s="21">
        <v>1.268</v>
      </c>
      <c r="L4" s="21">
        <v>1.2889999999999999</v>
      </c>
      <c r="M4" s="21">
        <v>1.3080000000000001</v>
      </c>
      <c r="N4" s="21">
        <v>1.3260000000000001</v>
      </c>
    </row>
    <row r="5" spans="1:14" x14ac:dyDescent="0.25">
      <c r="A5" s="94">
        <v>500</v>
      </c>
      <c r="B5" s="21">
        <v>1.0009999999999999</v>
      </c>
      <c r="C5" s="21">
        <v>1.0069999999999999</v>
      </c>
      <c r="D5" s="21">
        <v>1.046</v>
      </c>
      <c r="E5" s="21">
        <v>1.1020000000000001</v>
      </c>
      <c r="F5" s="21">
        <v>1.1539999999999999</v>
      </c>
      <c r="G5" s="21">
        <v>1.1990000000000001</v>
      </c>
      <c r="H5" s="21">
        <v>1.2370000000000001</v>
      </c>
      <c r="I5" s="21">
        <v>1.268</v>
      </c>
      <c r="J5" s="21">
        <v>1.2949999999999999</v>
      </c>
      <c r="K5" s="21">
        <v>1.319</v>
      </c>
      <c r="L5" s="21">
        <v>1.341</v>
      </c>
      <c r="M5" s="21">
        <v>1.3560000000000001</v>
      </c>
      <c r="N5" s="21">
        <v>1.371</v>
      </c>
    </row>
    <row r="6" spans="1:14" ht="15.75" thickBot="1" x14ac:dyDescent="0.3">
      <c r="A6" s="22">
        <v>550</v>
      </c>
      <c r="B6" s="23">
        <v>1.0008999999999999</v>
      </c>
      <c r="C6" s="23">
        <v>1.0580000000000001</v>
      </c>
      <c r="D6" s="23">
        <v>1.125</v>
      </c>
      <c r="E6" s="23">
        <v>1.1830000000000001</v>
      </c>
      <c r="F6" s="23">
        <v>1.2310000000000001</v>
      </c>
      <c r="G6" s="23">
        <v>1.2709999999999999</v>
      </c>
      <c r="H6" s="23">
        <v>1.302</v>
      </c>
      <c r="I6" s="23">
        <v>1.3280000000000001</v>
      </c>
      <c r="J6" s="23">
        <v>1.35</v>
      </c>
      <c r="K6" s="23">
        <v>1.369</v>
      </c>
      <c r="L6" s="23">
        <v>1.385</v>
      </c>
      <c r="M6" s="23">
        <v>1.399</v>
      </c>
      <c r="N6" s="95">
        <v>1.4119999999999999</v>
      </c>
    </row>
  </sheetData>
  <mergeCells count="1">
    <mergeCell ref="B1:M1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O23" sqref="O23"/>
    </sheetView>
  </sheetViews>
  <sheetFormatPr defaultColWidth="8.85546875" defaultRowHeight="15" x14ac:dyDescent="0.25"/>
  <cols>
    <col min="1" max="2" width="12.28515625" style="2" customWidth="1"/>
    <col min="3" max="16384" width="8.85546875" style="2"/>
  </cols>
  <sheetData>
    <row r="1" spans="1:3" x14ac:dyDescent="0.25">
      <c r="A1" s="24" t="s">
        <v>0</v>
      </c>
      <c r="B1" s="25" t="s">
        <v>9</v>
      </c>
      <c r="C1" s="25" t="s">
        <v>10</v>
      </c>
    </row>
    <row r="2" spans="1:3" x14ac:dyDescent="0.25">
      <c r="A2" s="2">
        <v>20</v>
      </c>
      <c r="B2" s="2">
        <v>914700000</v>
      </c>
      <c r="C2" s="2">
        <v>0.1285</v>
      </c>
    </row>
    <row r="3" spans="1:3" x14ac:dyDescent="0.25">
      <c r="A3" s="2">
        <v>100</v>
      </c>
      <c r="B3" s="2">
        <v>764000000</v>
      </c>
      <c r="C3" s="2">
        <v>0.11849999999999999</v>
      </c>
    </row>
    <row r="4" spans="1:3" x14ac:dyDescent="0.25">
      <c r="A4" s="2">
        <v>350</v>
      </c>
      <c r="B4" s="2">
        <v>764000000</v>
      </c>
      <c r="C4" s="2">
        <v>0.11849999999999999</v>
      </c>
    </row>
    <row r="5" spans="1:3" x14ac:dyDescent="0.25">
      <c r="A5" s="2">
        <v>450</v>
      </c>
      <c r="B5" s="2">
        <v>680700000</v>
      </c>
      <c r="C5" s="2">
        <v>8.6499999999999994E-2</v>
      </c>
    </row>
    <row r="6" spans="1:3" x14ac:dyDescent="0.25">
      <c r="A6" s="2">
        <v>500</v>
      </c>
      <c r="B6" s="2">
        <v>613800000</v>
      </c>
      <c r="C6" s="2">
        <v>7.6300000000000007E-2</v>
      </c>
    </row>
    <row r="7" spans="1:3" x14ac:dyDescent="0.25">
      <c r="A7" s="2">
        <v>550</v>
      </c>
      <c r="B7" s="2">
        <v>510000000</v>
      </c>
      <c r="C7" s="2">
        <v>9.6000000000000002E-2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L21" sqref="L21"/>
    </sheetView>
  </sheetViews>
  <sheetFormatPr defaultRowHeight="15" x14ac:dyDescent="0.25"/>
  <cols>
    <col min="1" max="1" width="13.5703125" customWidth="1"/>
  </cols>
  <sheetData>
    <row r="1" spans="1:1" x14ac:dyDescent="0.25">
      <c r="A1" t="s">
        <v>11</v>
      </c>
    </row>
    <row r="2" spans="1:1" x14ac:dyDescent="0.25">
      <c r="A2">
        <v>0.3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8CD7-DE0A-4577-AFE6-CD05C89A4771}">
  <dimension ref="A1:J17"/>
  <sheetViews>
    <sheetView zoomScale="85" zoomScaleNormal="85" workbookViewId="0">
      <selection activeCell="I23" sqref="I23"/>
    </sheetView>
  </sheetViews>
  <sheetFormatPr defaultRowHeight="15" x14ac:dyDescent="0.25"/>
  <cols>
    <col min="2" max="2" width="11.7109375" customWidth="1"/>
    <col min="3" max="3" width="11.140625" customWidth="1"/>
    <col min="4" max="4" width="10.85546875" customWidth="1"/>
    <col min="6" max="6" width="10" customWidth="1"/>
  </cols>
  <sheetData>
    <row r="1" spans="1:10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0.01</v>
      </c>
      <c r="B3">
        <v>20</v>
      </c>
      <c r="C3">
        <v>1.0362E-2</v>
      </c>
      <c r="D3">
        <v>20</v>
      </c>
      <c r="E3">
        <v>1.081E-2</v>
      </c>
      <c r="F3">
        <v>20</v>
      </c>
      <c r="G3">
        <v>1.1363E-2</v>
      </c>
      <c r="H3">
        <v>20</v>
      </c>
      <c r="I3">
        <v>1.1900000000000001E-2</v>
      </c>
      <c r="J3">
        <v>20.002379999999999</v>
      </c>
    </row>
    <row r="4" spans="1:10" x14ac:dyDescent="0.25">
      <c r="A4">
        <v>1.9997999999999998E-2</v>
      </c>
      <c r="B4">
        <v>40</v>
      </c>
      <c r="C4">
        <v>2.0723999999999999E-2</v>
      </c>
      <c r="D4">
        <v>40</v>
      </c>
      <c r="E4">
        <v>2.1621999999999999E-2</v>
      </c>
      <c r="F4">
        <v>40</v>
      </c>
      <c r="G4">
        <v>2.2731000000000001E-2</v>
      </c>
      <c r="H4">
        <v>40.01</v>
      </c>
      <c r="I4">
        <v>2.3820000000000001E-2</v>
      </c>
      <c r="J4">
        <v>40.009529999999998</v>
      </c>
    </row>
    <row r="5" spans="1:10" x14ac:dyDescent="0.25">
      <c r="A5">
        <v>2.9996999999999999E-2</v>
      </c>
      <c r="B5">
        <v>60</v>
      </c>
      <c r="C5">
        <v>3.1101E-2</v>
      </c>
      <c r="D5">
        <v>60</v>
      </c>
      <c r="E5">
        <v>3.2510999999999998E-2</v>
      </c>
      <c r="F5">
        <v>60</v>
      </c>
      <c r="G5">
        <v>3.4324E-2</v>
      </c>
      <c r="H5">
        <v>60.02</v>
      </c>
      <c r="I5">
        <v>3.628E-2</v>
      </c>
      <c r="J5">
        <v>60.021769999999997</v>
      </c>
    </row>
    <row r="6" spans="1:10" x14ac:dyDescent="0.25">
      <c r="A6">
        <v>4.0016999999999997E-2</v>
      </c>
      <c r="B6">
        <v>80</v>
      </c>
      <c r="C6">
        <v>4.1665000000000001E-2</v>
      </c>
      <c r="D6">
        <v>80</v>
      </c>
      <c r="E6">
        <v>4.4313999999999999E-2</v>
      </c>
      <c r="F6">
        <v>80</v>
      </c>
      <c r="G6">
        <v>4.8520000000000001E-2</v>
      </c>
      <c r="H6">
        <v>80.040000000000006</v>
      </c>
      <c r="I6">
        <v>5.4989999999999997E-2</v>
      </c>
      <c r="J6">
        <v>80.043999999999997</v>
      </c>
    </row>
    <row r="7" spans="1:10" x14ac:dyDescent="0.25">
      <c r="A7">
        <v>5.0168999999999998E-2</v>
      </c>
      <c r="B7">
        <v>100.1</v>
      </c>
      <c r="C7">
        <v>5.3416999999999999E-2</v>
      </c>
      <c r="D7">
        <v>100.1</v>
      </c>
      <c r="E7">
        <v>6.1885999999999997E-2</v>
      </c>
      <c r="F7">
        <v>100.1</v>
      </c>
      <c r="G7">
        <v>7.9155000000000003E-2</v>
      </c>
      <c r="H7">
        <v>100.08</v>
      </c>
      <c r="I7">
        <v>0.11312</v>
      </c>
      <c r="J7">
        <v>100.11318</v>
      </c>
    </row>
    <row r="8" spans="1:10" x14ac:dyDescent="0.25">
      <c r="A8">
        <v>6.0899000000000002E-2</v>
      </c>
      <c r="B8">
        <v>120.1</v>
      </c>
      <c r="C8">
        <v>7.0333000000000007E-2</v>
      </c>
      <c r="D8">
        <v>120.1</v>
      </c>
      <c r="E8">
        <v>0.104509</v>
      </c>
      <c r="F8">
        <v>120.1</v>
      </c>
      <c r="G8">
        <v>0.181118</v>
      </c>
      <c r="H8">
        <v>120.22</v>
      </c>
      <c r="I8">
        <v>0.34216000000000002</v>
      </c>
      <c r="J8">
        <v>120.4113</v>
      </c>
    </row>
    <row r="9" spans="1:10" x14ac:dyDescent="0.25">
      <c r="A9">
        <v>7.3584999999999998E-2</v>
      </c>
      <c r="B9">
        <v>140.1</v>
      </c>
      <c r="C9">
        <v>0.10469000000000001</v>
      </c>
      <c r="D9">
        <v>140.1</v>
      </c>
      <c r="E9">
        <v>0.23166999999999999</v>
      </c>
      <c r="F9">
        <v>140.30000000000001</v>
      </c>
      <c r="G9">
        <v>0.52336300000000002</v>
      </c>
      <c r="H9">
        <v>140.72999999999999</v>
      </c>
      <c r="I9">
        <v>1.14473</v>
      </c>
      <c r="J9">
        <v>141.61183</v>
      </c>
    </row>
    <row r="10" spans="1:10" x14ac:dyDescent="0.25">
      <c r="A10">
        <v>9.1795000000000002E-2</v>
      </c>
      <c r="B10">
        <v>160.1</v>
      </c>
      <c r="C10">
        <v>0.18826499999999999</v>
      </c>
      <c r="D10">
        <v>160.30000000000001</v>
      </c>
      <c r="E10">
        <v>0.59678399999999998</v>
      </c>
      <c r="F10">
        <v>161</v>
      </c>
      <c r="G10">
        <v>1.5379320000000001</v>
      </c>
      <c r="H10">
        <v>162.47999999999999</v>
      </c>
      <c r="I10">
        <v>2.0403099999999998</v>
      </c>
      <c r="J10">
        <v>153.09189000000001</v>
      </c>
    </row>
    <row r="11" spans="1:10" x14ac:dyDescent="0.25">
      <c r="A11">
        <v>0.12364700000000001</v>
      </c>
      <c r="B11">
        <v>180.2</v>
      </c>
      <c r="C11">
        <v>0.39317299999999999</v>
      </c>
      <c r="D11">
        <v>180.7</v>
      </c>
      <c r="E11">
        <v>0.964978</v>
      </c>
      <c r="F11">
        <v>171.6</v>
      </c>
      <c r="G11" t="s">
        <v>31</v>
      </c>
      <c r="H11" t="s">
        <v>31</v>
      </c>
      <c r="I11" t="s">
        <v>31</v>
      </c>
      <c r="J11" t="s">
        <v>31</v>
      </c>
    </row>
    <row r="12" spans="1:10" x14ac:dyDescent="0.25">
      <c r="A12">
        <v>0.185861</v>
      </c>
      <c r="B12">
        <v>200.4</v>
      </c>
      <c r="C12">
        <v>0.86694099999999996</v>
      </c>
      <c r="D12">
        <v>201.7</v>
      </c>
      <c r="E12">
        <v>1.544222</v>
      </c>
      <c r="F12">
        <v>191.9</v>
      </c>
      <c r="G12" t="s">
        <v>31</v>
      </c>
      <c r="H12" t="s">
        <v>31</v>
      </c>
      <c r="I12" t="s">
        <v>31</v>
      </c>
      <c r="J12" t="s">
        <v>31</v>
      </c>
    </row>
    <row r="13" spans="1:10" x14ac:dyDescent="0.25">
      <c r="A13">
        <v>0.31024499999999999</v>
      </c>
      <c r="B13">
        <v>220.7</v>
      </c>
      <c r="C13">
        <v>1.2840910000000001</v>
      </c>
      <c r="D13">
        <v>212.7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</row>
    <row r="14" spans="1:10" x14ac:dyDescent="0.25">
      <c r="A14">
        <v>0.553481</v>
      </c>
      <c r="B14">
        <v>241.3</v>
      </c>
      <c r="C14">
        <v>1.885783</v>
      </c>
      <c r="D14">
        <v>224.2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</row>
    <row r="15" spans="1:10" x14ac:dyDescent="0.25">
      <c r="A15">
        <v>1.011009</v>
      </c>
      <c r="B15">
        <v>262.60000000000002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</row>
    <row r="16" spans="1:10" x14ac:dyDescent="0.25">
      <c r="A16">
        <v>1.3649899999999999</v>
      </c>
      <c r="B16">
        <v>273.7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</row>
    <row r="17" spans="1:10" x14ac:dyDescent="0.25">
      <c r="A17">
        <v>1.8353809999999999</v>
      </c>
      <c r="B17">
        <v>285.2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CDCD-C303-4F28-9DB6-F09A26FF727B}">
  <dimension ref="A1:F18"/>
  <sheetViews>
    <sheetView zoomScale="130" zoomScaleNormal="130" workbookViewId="0">
      <selection activeCell="M17" sqref="M17"/>
    </sheetView>
  </sheetViews>
  <sheetFormatPr defaultRowHeight="15" x14ac:dyDescent="0.2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0.01</v>
      </c>
      <c r="B3">
        <v>20.001999999999999</v>
      </c>
      <c r="C3">
        <v>1.0362E-2</v>
      </c>
      <c r="D3">
        <v>20.00207</v>
      </c>
      <c r="E3">
        <v>1.081E-2</v>
      </c>
      <c r="F3">
        <v>20.00216</v>
      </c>
    </row>
    <row r="4" spans="1:6" x14ac:dyDescent="0.25">
      <c r="A4">
        <v>1.9997999999999998E-2</v>
      </c>
      <c r="B4">
        <v>40.008000000000003</v>
      </c>
      <c r="C4">
        <v>2.0723999999999999E-2</v>
      </c>
      <c r="D4">
        <v>40.008290000000002</v>
      </c>
      <c r="E4">
        <v>2.1621999999999999E-2</v>
      </c>
      <c r="F4">
        <v>40.008650000000003</v>
      </c>
    </row>
    <row r="5" spans="1:6" x14ac:dyDescent="0.25">
      <c r="A5">
        <v>2.9996999999999999E-2</v>
      </c>
      <c r="B5">
        <v>60.018000000000001</v>
      </c>
      <c r="C5">
        <v>3.1101E-2</v>
      </c>
      <c r="D5">
        <v>60.018659999999997</v>
      </c>
      <c r="E5">
        <v>3.2510999999999998E-2</v>
      </c>
      <c r="F5">
        <v>60.019509999999997</v>
      </c>
    </row>
    <row r="6" spans="1:6" x14ac:dyDescent="0.25">
      <c r="A6">
        <v>4.0016999999999997E-2</v>
      </c>
      <c r="B6">
        <v>80.032020000000003</v>
      </c>
      <c r="C6">
        <v>4.1665000000000001E-2</v>
      </c>
      <c r="D6">
        <v>80.033339999999995</v>
      </c>
      <c r="E6">
        <v>4.4313999999999999E-2</v>
      </c>
      <c r="F6">
        <v>80.03546</v>
      </c>
    </row>
    <row r="7" spans="1:6" x14ac:dyDescent="0.25">
      <c r="A7">
        <v>5.0168999999999998E-2</v>
      </c>
      <c r="B7">
        <v>100.0502</v>
      </c>
      <c r="C7">
        <v>5.3416999999999999E-2</v>
      </c>
      <c r="D7">
        <v>100.0534</v>
      </c>
      <c r="E7">
        <v>6.1885999999999997E-2</v>
      </c>
      <c r="F7">
        <v>100.06189999999999</v>
      </c>
    </row>
    <row r="8" spans="1:6" x14ac:dyDescent="0.25">
      <c r="A8">
        <v>6.0899000000000002E-2</v>
      </c>
      <c r="B8">
        <v>120.0731</v>
      </c>
      <c r="C8">
        <v>7.0333000000000007E-2</v>
      </c>
      <c r="D8">
        <v>120.0844</v>
      </c>
      <c r="E8">
        <v>0.104509</v>
      </c>
      <c r="F8">
        <v>120.1255</v>
      </c>
    </row>
    <row r="9" spans="1:6" x14ac:dyDescent="0.25">
      <c r="A9">
        <v>7.3584999999999998E-2</v>
      </c>
      <c r="B9">
        <v>140.10310000000001</v>
      </c>
      <c r="C9">
        <v>0.10469000000000001</v>
      </c>
      <c r="D9">
        <v>140.14660000000001</v>
      </c>
      <c r="E9">
        <v>0.23166999999999999</v>
      </c>
      <c r="F9">
        <v>140.32470000000001</v>
      </c>
    </row>
    <row r="10" spans="1:6" x14ac:dyDescent="0.25">
      <c r="A10">
        <v>9.1795000000000002E-2</v>
      </c>
      <c r="B10">
        <v>160.14689999999999</v>
      </c>
      <c r="C10">
        <v>0.18826499999999999</v>
      </c>
      <c r="D10">
        <v>160.3015</v>
      </c>
      <c r="E10">
        <v>0.59678399999999998</v>
      </c>
      <c r="F10">
        <v>160.95769999999999</v>
      </c>
    </row>
    <row r="11" spans="1:6" x14ac:dyDescent="0.25">
      <c r="A11">
        <v>0.12364700000000001</v>
      </c>
      <c r="B11">
        <v>180.2227</v>
      </c>
      <c r="C11">
        <v>0.39317299999999999</v>
      </c>
      <c r="D11">
        <v>180.70910000000001</v>
      </c>
      <c r="E11">
        <v>0.964978</v>
      </c>
      <c r="F11">
        <v>171.64840000000001</v>
      </c>
    </row>
    <row r="12" spans="1:6" x14ac:dyDescent="0.25">
      <c r="A12">
        <v>0.185861</v>
      </c>
      <c r="B12">
        <v>200.37209999999999</v>
      </c>
      <c r="C12">
        <v>0.86694099999999996</v>
      </c>
      <c r="D12">
        <v>201.7414</v>
      </c>
      <c r="E12">
        <v>1.544222</v>
      </c>
      <c r="F12">
        <v>191.94120000000001</v>
      </c>
    </row>
    <row r="13" spans="1:6" x14ac:dyDescent="0.25">
      <c r="A13">
        <v>0.31024499999999999</v>
      </c>
      <c r="B13">
        <v>220.68360000000001</v>
      </c>
      <c r="C13">
        <v>1.2840910000000001</v>
      </c>
      <c r="D13">
        <v>212.714</v>
      </c>
      <c r="E13">
        <v>34.145980000000002</v>
      </c>
      <c r="F13">
        <v>595.16099999999994</v>
      </c>
    </row>
    <row r="14" spans="1:6" x14ac:dyDescent="0.25">
      <c r="A14">
        <v>0.553481</v>
      </c>
      <c r="B14">
        <v>241.33199999999999</v>
      </c>
      <c r="C14">
        <v>1.885783</v>
      </c>
      <c r="D14">
        <v>224.18809999999999</v>
      </c>
      <c r="E14" t="s">
        <v>31</v>
      </c>
      <c r="F14" t="s">
        <v>31</v>
      </c>
    </row>
    <row r="15" spans="1:6" x14ac:dyDescent="0.25">
      <c r="A15">
        <v>1.011009</v>
      </c>
      <c r="B15">
        <v>262.642</v>
      </c>
      <c r="C15">
        <v>35.907209999999999</v>
      </c>
      <c r="D15">
        <v>655.85599999999999</v>
      </c>
      <c r="E15" t="s">
        <v>31</v>
      </c>
      <c r="F15" t="s">
        <v>31</v>
      </c>
    </row>
    <row r="16" spans="1:6" x14ac:dyDescent="0.25">
      <c r="A16">
        <v>1.3649899999999999</v>
      </c>
      <c r="B16">
        <v>273.71069999999997</v>
      </c>
      <c r="C16" t="s">
        <v>31</v>
      </c>
      <c r="D16" t="s">
        <v>31</v>
      </c>
      <c r="E16" t="s">
        <v>31</v>
      </c>
      <c r="F16" t="s">
        <v>31</v>
      </c>
    </row>
    <row r="17" spans="1:6" x14ac:dyDescent="0.25">
      <c r="A17">
        <v>1.8353809999999999</v>
      </c>
      <c r="B17">
        <v>285.18650000000002</v>
      </c>
      <c r="C17" t="s">
        <v>31</v>
      </c>
      <c r="D17" t="s">
        <v>31</v>
      </c>
      <c r="E17" t="s">
        <v>31</v>
      </c>
      <c r="F17" t="s">
        <v>31</v>
      </c>
    </row>
    <row r="18" spans="1:6" x14ac:dyDescent="0.25">
      <c r="A18">
        <v>50.319659999999999</v>
      </c>
      <c r="B18">
        <v>868.35</v>
      </c>
      <c r="C18" t="s">
        <v>31</v>
      </c>
      <c r="D18" t="s">
        <v>31</v>
      </c>
      <c r="E18" t="s">
        <v>31</v>
      </c>
      <c r="F18" t="s">
        <v>31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BE09-7939-49C6-9093-CA4E183CD9B8}">
  <dimension ref="A1:B13"/>
  <sheetViews>
    <sheetView workbookViewId="0">
      <selection activeCell="E21" sqref="E21"/>
    </sheetView>
  </sheetViews>
  <sheetFormatPr defaultRowHeight="15" x14ac:dyDescent="0.25"/>
  <sheetData>
    <row r="1" spans="1:2" x14ac:dyDescent="0.25">
      <c r="A1" t="s">
        <v>0</v>
      </c>
      <c r="B1" t="s">
        <v>37</v>
      </c>
    </row>
    <row r="2" spans="1:2" x14ac:dyDescent="0.25">
      <c r="A2" s="81">
        <v>0</v>
      </c>
      <c r="B2" s="81">
        <v>7.3999999999999996E-2</v>
      </c>
    </row>
    <row r="3" spans="1:2" x14ac:dyDescent="0.25">
      <c r="A3">
        <v>20</v>
      </c>
      <c r="B3">
        <v>7.3999999999999996E-2</v>
      </c>
    </row>
    <row r="4" spans="1:2" x14ac:dyDescent="0.25">
      <c r="A4">
        <v>200</v>
      </c>
      <c r="B4">
        <v>7.1300000000000002E-2</v>
      </c>
    </row>
    <row r="5" spans="1:2" x14ac:dyDescent="0.25">
      <c r="A5">
        <v>300</v>
      </c>
      <c r="B5">
        <v>5.6899999999999999E-2</v>
      </c>
    </row>
    <row r="6" spans="1:2" x14ac:dyDescent="0.25">
      <c r="A6">
        <v>400</v>
      </c>
      <c r="B6">
        <v>5.8599999999999999E-2</v>
      </c>
    </row>
    <row r="7" spans="1:2" x14ac:dyDescent="0.25">
      <c r="A7">
        <v>450</v>
      </c>
      <c r="B7">
        <v>4.5999999999999999E-2</v>
      </c>
    </row>
    <row r="8" spans="1:2" x14ac:dyDescent="0.25">
      <c r="A8">
        <v>500</v>
      </c>
      <c r="B8">
        <v>4.9399999999999999E-2</v>
      </c>
    </row>
    <row r="9" spans="1:2" x14ac:dyDescent="0.25">
      <c r="A9">
        <v>525</v>
      </c>
      <c r="B9">
        <v>4.1000000000000002E-2</v>
      </c>
    </row>
    <row r="10" spans="1:2" x14ac:dyDescent="0.25">
      <c r="A10">
        <v>550</v>
      </c>
      <c r="B10">
        <v>3.9E-2</v>
      </c>
    </row>
    <row r="11" spans="1:2" x14ac:dyDescent="0.25">
      <c r="A11">
        <v>575</v>
      </c>
      <c r="B11">
        <v>3.7699999999999997E-2</v>
      </c>
    </row>
    <row r="12" spans="1:2" x14ac:dyDescent="0.25">
      <c r="A12">
        <v>600</v>
      </c>
      <c r="B12">
        <v>2.58E-2</v>
      </c>
    </row>
    <row r="13" spans="1:2" x14ac:dyDescent="0.25">
      <c r="A13" s="81">
        <v>1000</v>
      </c>
      <c r="B13" s="81">
        <v>2.58E-2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E96A-79AA-4B8F-A725-B3221BBF9384}">
  <dimension ref="A1:B13"/>
  <sheetViews>
    <sheetView workbookViewId="0">
      <selection activeCell="C22" sqref="C22"/>
    </sheetView>
  </sheetViews>
  <sheetFormatPr defaultRowHeight="15" x14ac:dyDescent="0.25"/>
  <sheetData>
    <row r="1" spans="1:2" x14ac:dyDescent="0.25">
      <c r="A1" t="s">
        <v>0</v>
      </c>
      <c r="B1" t="s">
        <v>36</v>
      </c>
    </row>
    <row r="2" spans="1:2" x14ac:dyDescent="0.25">
      <c r="A2" s="81">
        <v>0</v>
      </c>
      <c r="B2" s="81">
        <v>1.1100000000000001</v>
      </c>
    </row>
    <row r="3" spans="1:2" x14ac:dyDescent="0.25">
      <c r="A3">
        <v>20</v>
      </c>
      <c r="B3">
        <v>1.1100000000000001</v>
      </c>
    </row>
    <row r="4" spans="1:2" x14ac:dyDescent="0.25">
      <c r="A4">
        <v>200</v>
      </c>
      <c r="B4">
        <v>1.1399999999999999</v>
      </c>
    </row>
    <row r="5" spans="1:2" x14ac:dyDescent="0.25">
      <c r="A5">
        <v>300</v>
      </c>
      <c r="B5">
        <v>1.1299999999999999</v>
      </c>
    </row>
    <row r="6" spans="1:2" x14ac:dyDescent="0.25">
      <c r="A6">
        <v>400</v>
      </c>
      <c r="B6">
        <v>1.1000000000000001</v>
      </c>
    </row>
    <row r="7" spans="1:2" x14ac:dyDescent="0.25">
      <c r="A7">
        <v>450</v>
      </c>
      <c r="B7">
        <v>1.07</v>
      </c>
    </row>
    <row r="8" spans="1:2" x14ac:dyDescent="0.25">
      <c r="A8">
        <v>500</v>
      </c>
      <c r="B8">
        <v>1.1200000000000001</v>
      </c>
    </row>
    <row r="9" spans="1:2" x14ac:dyDescent="0.25">
      <c r="A9">
        <v>525</v>
      </c>
      <c r="B9">
        <v>1.08</v>
      </c>
    </row>
    <row r="10" spans="1:2" x14ac:dyDescent="0.25">
      <c r="A10">
        <v>550</v>
      </c>
      <c r="B10">
        <v>1.1000000000000001</v>
      </c>
    </row>
    <row r="11" spans="1:2" x14ac:dyDescent="0.25">
      <c r="A11">
        <v>575</v>
      </c>
      <c r="B11">
        <v>1.1299999999999999</v>
      </c>
    </row>
    <row r="12" spans="1:2" x14ac:dyDescent="0.25">
      <c r="A12">
        <v>600</v>
      </c>
      <c r="B12">
        <v>1.1299999999999999</v>
      </c>
    </row>
    <row r="13" spans="1:2" x14ac:dyDescent="0.25">
      <c r="A13" s="81">
        <v>1000</v>
      </c>
      <c r="B13" s="81">
        <v>1.1299999999999999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FD892B-57EE-407F-876C-3A2E5A70442A}"/>
</file>

<file path=customXml/itemProps2.xml><?xml version="1.0" encoding="utf-8"?>
<ds:datastoreItem xmlns:ds="http://schemas.openxmlformats.org/officeDocument/2006/customXml" ds:itemID="{A1EB181C-B032-4B55-8488-B934A42A52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4C9385-3AC8-47DE-AFE0-2EB8CD8856F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19</vt:i4>
      </vt:variant>
    </vt:vector>
  </HeadingPairs>
  <TitlesOfParts>
    <vt:vector size="19" baseType="lpstr">
      <vt:lpstr>Sd_nopeak</vt:lpstr>
      <vt:lpstr>alpha</vt:lpstr>
      <vt:lpstr>Young Modulus</vt:lpstr>
      <vt:lpstr>Sm</vt:lpstr>
      <vt:lpstr>Fatigue Curves</vt:lpstr>
      <vt:lpstr>Keff_rec</vt:lpstr>
      <vt:lpstr>Sy_min</vt:lpstr>
      <vt:lpstr>Sy_moy</vt:lpstr>
      <vt:lpstr>Su_min</vt:lpstr>
      <vt:lpstr>Sd</vt:lpstr>
      <vt:lpstr>Se</vt:lpstr>
      <vt:lpstr>Keps</vt:lpstr>
      <vt:lpstr>Kmu</vt:lpstr>
      <vt:lpstr>K-m</vt:lpstr>
      <vt:lpstr>Nu</vt:lpstr>
      <vt:lpstr>TrueStressStrain</vt:lpstr>
      <vt:lpstr>TrueStressStrain2</vt:lpstr>
      <vt:lpstr>n0</vt:lpstr>
      <vt:lpstr>C0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Falco</cp:lastModifiedBy>
  <dcterms:created xsi:type="dcterms:W3CDTF">2020-03-06T09:01:04Z</dcterms:created>
  <dcterms:modified xsi:type="dcterms:W3CDTF">2022-11-02T09:04:25Z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