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hi\Documents\GitHub\StressAssessment\Materials\"/>
    </mc:Choice>
  </mc:AlternateContent>
  <xr:revisionPtr revIDLastSave="0" documentId="13_ncr:1_{1E5B62B9-2E92-4F48-96DA-B2D276896259}" xr6:coauthVersionLast="46" xr6:coauthVersionMax="46" xr10:uidLastSave="{00000000-0000-0000-0000-000000000000}"/>
  <bookViews>
    <workbookView xWindow="28680" yWindow="-120" windowWidth="38640" windowHeight="21240" activeTab="8" xr2:uid="{00000000-000D-0000-FFFF-FFFF00000000}"/>
  </bookViews>
  <sheets>
    <sheet name="Sd_nopeak" sheetId="13" r:id="rId1"/>
    <sheet name="Young Modulus" sheetId="1" r:id="rId2"/>
    <sheet name="Fatigue Curves" sheetId="2" r:id="rId3"/>
    <sheet name="Sm" sheetId="7" r:id="rId4"/>
    <sheet name="Keff_rec" sheetId="8" r:id="rId5"/>
    <sheet name="Sy_min" sheetId="9" r:id="rId6"/>
    <sheet name="Su_min" sheetId="10" r:id="rId7"/>
    <sheet name="Sd" sheetId="11" r:id="rId8"/>
    <sheet name="Se" sheetId="12" r:id="rId9"/>
    <sheet name="Keps" sheetId="3" r:id="rId10"/>
    <sheet name="Kmu" sheetId="4" r:id="rId11"/>
    <sheet name="K-m" sheetId="5" r:id="rId12"/>
    <sheet name="Nu" sheetId="6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7" l="1"/>
</calcChain>
</file>

<file path=xl/sharedStrings.xml><?xml version="1.0" encoding="utf-8"?>
<sst xmlns="http://schemas.openxmlformats.org/spreadsheetml/2006/main" count="215" uniqueCount="24">
  <si>
    <t>T</t>
  </si>
  <si>
    <t>E [GPa]</t>
  </si>
  <si>
    <t>Ref:</t>
  </si>
  <si>
    <t>Ncycles</t>
  </si>
  <si>
    <t>Dstot</t>
  </si>
  <si>
    <t>K mu</t>
  </si>
  <si>
    <t>K eps</t>
  </si>
  <si>
    <t>K</t>
  </si>
  <si>
    <t>m</t>
  </si>
  <si>
    <t>Poisson ratio</t>
  </si>
  <si>
    <t>T [°C]</t>
  </si>
  <si>
    <t>DPA</t>
  </si>
  <si>
    <t>dpa</t>
  </si>
  <si>
    <t>Su, min [Mpa]</t>
  </si>
  <si>
    <t>Sy,min [MPa]</t>
  </si>
  <si>
    <t>Se, irr [MPa]</t>
  </si>
  <si>
    <t>Sd, irr [Mpa]</t>
  </si>
  <si>
    <r>
      <t>S</t>
    </r>
    <r>
      <rPr>
        <b/>
        <vertAlign val="subscript"/>
        <sz val="10"/>
        <color theme="1"/>
        <rFont val="Arial"/>
        <family val="2"/>
      </rPr>
      <t>m</t>
    </r>
    <r>
      <rPr>
        <b/>
        <sz val="10"/>
        <color theme="1"/>
        <rFont val="Arial"/>
        <family val="2"/>
      </rPr>
      <t xml:space="preserve"> [MPa]</t>
    </r>
  </si>
  <si>
    <t>Smb</t>
  </si>
  <si>
    <t>stress</t>
  </si>
  <si>
    <t>Up to 427 °C, For irradiated materials up to 0.3 dpa and 350°C.</t>
  </si>
  <si>
    <t>A.B01.5.6</t>
  </si>
  <si>
    <t>max mean stress</t>
  </si>
  <si>
    <t>No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</si>
</sst>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color indexed="11"/>
      <name val="Arial"/>
      <family val="2"/>
    </font>
    <font>
      <b/>
      <sz val="10"/>
      <name val="Symbol"/>
      <family val="1"/>
      <charset val="2"/>
    </font>
    <font>
      <b/>
      <sz val="10"/>
      <name val="Arial"/>
      <family val="2"/>
    </font>
    <font>
      <b/>
      <sz val="10"/>
      <color indexed="1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1" fontId="5" fillId="2" borderId="14" xfId="0" applyNumberFormat="1" applyFont="1" applyFill="1" applyBorder="1" applyAlignment="1">
      <alignment horizontal="center" vertical="center"/>
    </xf>
    <xf numFmtId="11" fontId="5" fillId="2" borderId="15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6" fillId="3" borderId="16" xfId="0" applyFont="1" applyFill="1" applyBorder="1" applyAlignment="1" applyProtection="1">
      <alignment horizontal="center" vertical="center"/>
      <protection locked="0"/>
    </xf>
    <xf numFmtId="0" fontId="2" fillId="4" borderId="18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6" fillId="4" borderId="16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Protection="1">
      <protection locked="0"/>
    </xf>
    <xf numFmtId="0" fontId="7" fillId="4" borderId="19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7" fillId="4" borderId="28" xfId="0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164" fontId="8" fillId="5" borderId="24" xfId="0" applyNumberFormat="1" applyFont="1" applyFill="1" applyBorder="1" applyAlignment="1">
      <alignment horizontal="center" vertical="center"/>
    </xf>
    <xf numFmtId="164" fontId="8" fillId="5" borderId="25" xfId="0" applyNumberFormat="1" applyFont="1" applyFill="1" applyBorder="1" applyAlignment="1">
      <alignment horizontal="center" vertical="center"/>
    </xf>
    <xf numFmtId="164" fontId="8" fillId="5" borderId="26" xfId="0" applyNumberFormat="1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1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5" borderId="34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1" fontId="7" fillId="4" borderId="3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11" fontId="0" fillId="4" borderId="0" xfId="0" applyNumberFormat="1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" fontId="7" fillId="4" borderId="29" xfId="0" applyNumberFormat="1" applyFont="1" applyFill="1" applyBorder="1" applyAlignment="1">
      <alignment horizontal="center" vertical="center"/>
    </xf>
    <xf numFmtId="1" fontId="7" fillId="4" borderId="35" xfId="0" applyNumberFormat="1" applyFont="1" applyFill="1" applyBorder="1" applyAlignment="1">
      <alignment horizontal="center" vertical="center"/>
    </xf>
    <xf numFmtId="0" fontId="7" fillId="5" borderId="36" xfId="0" applyFont="1" applyFill="1" applyBorder="1" applyAlignment="1">
      <alignment horizontal="center" vertical="center"/>
    </xf>
    <xf numFmtId="0" fontId="7" fillId="5" borderId="37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0" fillId="7" borderId="0" xfId="0" applyFont="1" applyFill="1"/>
    <xf numFmtId="0" fontId="8" fillId="6" borderId="8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0" fillId="4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1" fontId="0" fillId="0" borderId="11" xfId="0" applyNumberFormat="1" applyFill="1" applyBorder="1" applyAlignment="1">
      <alignment horizontal="center" vertical="center"/>
    </xf>
    <xf numFmtId="11" fontId="0" fillId="4" borderId="0" xfId="0" applyNumberFormat="1" applyFill="1" applyBorder="1" applyAlignment="1">
      <alignment horizontal="center" vertical="center"/>
    </xf>
    <xf numFmtId="11" fontId="0" fillId="4" borderId="7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11" fontId="0" fillId="4" borderId="12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BE65-4234-4AD8-90D8-5E23370F805A}">
  <dimension ref="A1:L11"/>
  <sheetViews>
    <sheetView workbookViewId="0">
      <selection activeCell="K52" sqref="K52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16</v>
      </c>
    </row>
    <row r="2" spans="1:12" x14ac:dyDescent="0.3">
      <c r="A2" s="25"/>
      <c r="B2" s="74" t="s">
        <v>12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5" thickBot="1" x14ac:dyDescent="0.35">
      <c r="A3" s="28" t="s">
        <v>10</v>
      </c>
      <c r="B3" s="29">
        <v>0</v>
      </c>
      <c r="C3" s="30">
        <v>0.5</v>
      </c>
      <c r="D3" s="30">
        <v>1</v>
      </c>
      <c r="E3" s="30">
        <v>1.5</v>
      </c>
      <c r="F3" s="30">
        <v>2</v>
      </c>
      <c r="G3" s="30">
        <v>2.5</v>
      </c>
      <c r="H3" s="30">
        <v>3</v>
      </c>
      <c r="I3" s="30">
        <v>3.5</v>
      </c>
      <c r="J3" s="30">
        <v>4</v>
      </c>
      <c r="K3" s="30">
        <v>4.5</v>
      </c>
      <c r="L3" s="31">
        <v>5</v>
      </c>
    </row>
    <row r="4" spans="1:12" x14ac:dyDescent="0.3">
      <c r="A4" s="32">
        <v>20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</row>
    <row r="5" spans="1:12" x14ac:dyDescent="0.3">
      <c r="A5" s="33">
        <v>50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</row>
    <row r="6" spans="1:12" x14ac:dyDescent="0.3">
      <c r="A6" s="33">
        <v>100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</row>
    <row r="7" spans="1:12" x14ac:dyDescent="0.3">
      <c r="A7" s="33">
        <v>150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</row>
    <row r="8" spans="1:12" x14ac:dyDescent="0.3">
      <c r="A8" s="33">
        <v>200</v>
      </c>
      <c r="B8" s="27">
        <v>0</v>
      </c>
      <c r="C8" s="27">
        <v>0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</row>
    <row r="9" spans="1:12" x14ac:dyDescent="0.3">
      <c r="A9" s="33">
        <v>250</v>
      </c>
      <c r="B9" s="27">
        <v>0</v>
      </c>
      <c r="C9" s="27">
        <v>0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</row>
    <row r="10" spans="1:12" x14ac:dyDescent="0.3">
      <c r="A10" s="33">
        <v>300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</row>
    <row r="11" spans="1:12" x14ac:dyDescent="0.3">
      <c r="A11" s="34">
        <v>350</v>
      </c>
      <c r="B11" s="27">
        <v>0</v>
      </c>
      <c r="C11" s="27">
        <v>0</v>
      </c>
      <c r="D11" s="27">
        <v>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</row>
  </sheetData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C19" sqref="C19"/>
    </sheetView>
  </sheetViews>
  <sheetFormatPr defaultColWidth="8.88671875" defaultRowHeight="14.4" x14ac:dyDescent="0.3"/>
  <cols>
    <col min="1" max="1" width="10" style="2" bestFit="1" customWidth="1"/>
    <col min="2" max="2" width="9" style="2" bestFit="1" customWidth="1"/>
    <col min="3" max="6" width="8.88671875" style="2"/>
    <col min="7" max="7" width="24.109375" style="2" customWidth="1"/>
    <col min="8" max="16384" width="8.88671875" style="2"/>
  </cols>
  <sheetData>
    <row r="1" spans="1:2" x14ac:dyDescent="0.3">
      <c r="A1" s="3" t="s">
        <v>0</v>
      </c>
      <c r="B1" s="3" t="s">
        <v>1</v>
      </c>
    </row>
    <row r="2" spans="1:2" x14ac:dyDescent="0.3">
      <c r="A2" s="41">
        <v>-300</v>
      </c>
      <c r="B2" s="41">
        <v>200</v>
      </c>
    </row>
    <row r="3" spans="1:2" x14ac:dyDescent="0.3">
      <c r="A3" s="48">
        <v>21.1</v>
      </c>
      <c r="B3" s="48">
        <v>200</v>
      </c>
    </row>
    <row r="4" spans="1:2" x14ac:dyDescent="0.3">
      <c r="A4" s="48">
        <v>93.3</v>
      </c>
      <c r="B4" s="48">
        <v>195.1</v>
      </c>
    </row>
    <row r="5" spans="1:2" x14ac:dyDescent="0.3">
      <c r="A5" s="48">
        <v>148.9</v>
      </c>
      <c r="B5" s="48">
        <v>191.7</v>
      </c>
    </row>
    <row r="6" spans="1:2" x14ac:dyDescent="0.3">
      <c r="A6" s="48">
        <v>204.4</v>
      </c>
      <c r="B6" s="48">
        <v>190.3</v>
      </c>
    </row>
    <row r="7" spans="1:2" x14ac:dyDescent="0.3">
      <c r="A7" s="48">
        <v>260</v>
      </c>
      <c r="B7" s="48">
        <v>186.9</v>
      </c>
    </row>
    <row r="8" spans="1:2" x14ac:dyDescent="0.3">
      <c r="A8" s="48">
        <v>315.60000000000002</v>
      </c>
      <c r="B8" s="48">
        <v>184.8</v>
      </c>
    </row>
    <row r="9" spans="1:2" x14ac:dyDescent="0.3">
      <c r="A9" s="48">
        <v>371.1</v>
      </c>
      <c r="B9" s="48">
        <v>182</v>
      </c>
    </row>
    <row r="10" spans="1:2" x14ac:dyDescent="0.3">
      <c r="A10" s="48">
        <v>426.7</v>
      </c>
      <c r="B10" s="48">
        <v>177.9</v>
      </c>
    </row>
    <row r="11" spans="1:2" x14ac:dyDescent="0.3">
      <c r="A11" s="48">
        <v>482.2</v>
      </c>
      <c r="B11" s="48">
        <v>173.8</v>
      </c>
    </row>
    <row r="12" spans="1:2" x14ac:dyDescent="0.3">
      <c r="A12" s="48">
        <v>537.79999999999995</v>
      </c>
      <c r="B12" s="48">
        <v>170.3</v>
      </c>
    </row>
    <row r="13" spans="1:2" x14ac:dyDescent="0.3">
      <c r="A13" s="48">
        <v>593.29999999999995</v>
      </c>
      <c r="B13" s="48">
        <v>166.9</v>
      </c>
    </row>
    <row r="14" spans="1:2" x14ac:dyDescent="0.3">
      <c r="A14" s="42">
        <v>100000</v>
      </c>
      <c r="B14" s="41">
        <v>166.9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workbookViewId="0">
      <selection activeCell="J23" sqref="J23"/>
    </sheetView>
  </sheetViews>
  <sheetFormatPr defaultColWidth="8.88671875" defaultRowHeight="14.4" x14ac:dyDescent="0.3"/>
  <cols>
    <col min="1" max="2" width="8.88671875" style="2"/>
    <col min="3" max="3" width="8.88671875" style="2" customWidth="1"/>
    <col min="4" max="16384" width="8.88671875" style="2"/>
  </cols>
  <sheetData>
    <row r="1" spans="1:6" ht="39.75" customHeight="1" x14ac:dyDescent="0.3">
      <c r="A1" s="2" t="s">
        <v>2</v>
      </c>
      <c r="B1" s="2" t="s">
        <v>21</v>
      </c>
      <c r="C1" s="77" t="s">
        <v>20</v>
      </c>
      <c r="D1" s="77"/>
      <c r="E1" s="77"/>
      <c r="F1" s="77"/>
    </row>
    <row r="2" spans="1:6" ht="43.95" customHeight="1" thickBot="1" x14ac:dyDescent="0.35">
      <c r="A2" s="59"/>
      <c r="B2" s="59"/>
      <c r="C2" s="59"/>
      <c r="D2" s="71"/>
      <c r="E2" s="71"/>
      <c r="F2" s="71"/>
    </row>
    <row r="3" spans="1:6" ht="15" thickBot="1" x14ac:dyDescent="0.35">
      <c r="A3" s="57" t="s">
        <v>19</v>
      </c>
      <c r="B3" s="75" t="s">
        <v>22</v>
      </c>
      <c r="C3" s="76"/>
    </row>
    <row r="4" spans="1:6" ht="15" thickBot="1" x14ac:dyDescent="0.35">
      <c r="A4" s="60" t="s">
        <v>3</v>
      </c>
      <c r="B4" s="61">
        <v>0</v>
      </c>
      <c r="C4" s="61">
        <v>690</v>
      </c>
      <c r="D4" s="61">
        <v>830</v>
      </c>
      <c r="E4" s="61">
        <v>930</v>
      </c>
      <c r="F4" s="62">
        <v>1015</v>
      </c>
    </row>
    <row r="5" spans="1:6" x14ac:dyDescent="0.3">
      <c r="A5" s="58">
        <v>0</v>
      </c>
      <c r="B5" s="66">
        <v>10000000000</v>
      </c>
      <c r="C5" s="66">
        <v>10000000000</v>
      </c>
      <c r="D5" s="66">
        <v>10000000000</v>
      </c>
      <c r="E5" s="66">
        <v>10000000000</v>
      </c>
      <c r="F5" s="67">
        <v>10000000000</v>
      </c>
    </row>
    <row r="6" spans="1:6" x14ac:dyDescent="0.3">
      <c r="A6" s="65">
        <v>10</v>
      </c>
      <c r="B6" s="63">
        <v>5191</v>
      </c>
      <c r="C6" s="63">
        <v>5191</v>
      </c>
      <c r="D6" s="63">
        <v>5191</v>
      </c>
      <c r="E6" s="63">
        <v>5191</v>
      </c>
      <c r="F6" s="64">
        <v>5191</v>
      </c>
    </row>
    <row r="7" spans="1:6" x14ac:dyDescent="0.3">
      <c r="A7" s="65">
        <v>20</v>
      </c>
      <c r="B7" s="63">
        <v>3723</v>
      </c>
      <c r="C7" s="63">
        <v>3723</v>
      </c>
      <c r="D7" s="63">
        <v>3723</v>
      </c>
      <c r="E7" s="63">
        <v>3723</v>
      </c>
      <c r="F7" s="64">
        <v>3723</v>
      </c>
    </row>
    <row r="8" spans="1:6" x14ac:dyDescent="0.3">
      <c r="A8" s="65">
        <v>50</v>
      </c>
      <c r="B8" s="63">
        <v>2516</v>
      </c>
      <c r="C8" s="63">
        <v>2516</v>
      </c>
      <c r="D8" s="63">
        <v>2516</v>
      </c>
      <c r="E8" s="63">
        <v>2516</v>
      </c>
      <c r="F8" s="64">
        <v>2516</v>
      </c>
    </row>
    <row r="9" spans="1:6" x14ac:dyDescent="0.3">
      <c r="A9" s="65">
        <v>100</v>
      </c>
      <c r="B9" s="63">
        <v>1882</v>
      </c>
      <c r="C9" s="63">
        <v>1882</v>
      </c>
      <c r="D9" s="63">
        <v>1882</v>
      </c>
      <c r="E9" s="63">
        <v>1882</v>
      </c>
      <c r="F9" s="64">
        <v>1882</v>
      </c>
    </row>
    <row r="10" spans="1:6" x14ac:dyDescent="0.3">
      <c r="A10" s="65">
        <v>200</v>
      </c>
      <c r="B10" s="63">
        <v>1496</v>
      </c>
      <c r="C10" s="63">
        <v>1496</v>
      </c>
      <c r="D10" s="63">
        <v>1496</v>
      </c>
      <c r="E10" s="63">
        <v>1496</v>
      </c>
      <c r="F10" s="64">
        <v>1496</v>
      </c>
    </row>
    <row r="11" spans="1:6" x14ac:dyDescent="0.3">
      <c r="A11" s="65">
        <v>400</v>
      </c>
      <c r="B11" s="63">
        <v>1192</v>
      </c>
      <c r="C11" s="63">
        <v>1192</v>
      </c>
      <c r="D11" s="63">
        <v>1192</v>
      </c>
      <c r="E11" s="63">
        <v>1192</v>
      </c>
      <c r="F11" s="64">
        <v>1192</v>
      </c>
    </row>
    <row r="12" spans="1:6" x14ac:dyDescent="0.3">
      <c r="A12" s="65">
        <v>500</v>
      </c>
      <c r="B12" s="63">
        <v>1103</v>
      </c>
      <c r="C12" s="63">
        <v>1103</v>
      </c>
      <c r="D12" s="63">
        <v>1103</v>
      </c>
      <c r="E12" s="63">
        <v>1103</v>
      </c>
      <c r="F12" s="64">
        <v>1068</v>
      </c>
    </row>
    <row r="13" spans="1:6" x14ac:dyDescent="0.3">
      <c r="A13" s="65">
        <v>800</v>
      </c>
      <c r="B13" s="63">
        <v>972</v>
      </c>
      <c r="C13" s="63">
        <v>972</v>
      </c>
      <c r="D13" s="63">
        <v>972</v>
      </c>
      <c r="E13" s="63">
        <v>972</v>
      </c>
      <c r="F13" s="64">
        <v>786</v>
      </c>
    </row>
    <row r="14" spans="1:6" x14ac:dyDescent="0.3">
      <c r="A14" s="65">
        <v>1000</v>
      </c>
      <c r="B14" s="63">
        <v>917</v>
      </c>
      <c r="C14" s="63">
        <v>917</v>
      </c>
      <c r="D14" s="63">
        <v>917</v>
      </c>
      <c r="E14" s="63">
        <v>834</v>
      </c>
      <c r="F14" s="64">
        <v>682</v>
      </c>
    </row>
    <row r="15" spans="1:6" x14ac:dyDescent="0.3">
      <c r="A15" s="65">
        <v>2000</v>
      </c>
      <c r="B15" s="63">
        <v>758</v>
      </c>
      <c r="C15" s="63">
        <v>758</v>
      </c>
      <c r="D15" s="63">
        <v>689</v>
      </c>
      <c r="E15" s="63">
        <v>579</v>
      </c>
      <c r="F15" s="64">
        <v>468</v>
      </c>
    </row>
    <row r="16" spans="1:6" x14ac:dyDescent="0.3">
      <c r="A16" s="65">
        <v>5000</v>
      </c>
      <c r="B16" s="63">
        <v>586</v>
      </c>
      <c r="C16" s="63">
        <v>586</v>
      </c>
      <c r="D16" s="63">
        <v>489</v>
      </c>
      <c r="E16" s="63">
        <v>399</v>
      </c>
      <c r="F16" s="64">
        <v>330</v>
      </c>
    </row>
    <row r="17" spans="1:6" x14ac:dyDescent="0.3">
      <c r="A17" s="65">
        <v>10000</v>
      </c>
      <c r="B17" s="63">
        <v>482</v>
      </c>
      <c r="C17" s="63">
        <v>482</v>
      </c>
      <c r="D17" s="63">
        <v>399</v>
      </c>
      <c r="E17" s="63">
        <v>330</v>
      </c>
      <c r="F17" s="64">
        <v>268</v>
      </c>
    </row>
    <row r="18" spans="1:6" x14ac:dyDescent="0.3">
      <c r="A18" s="65">
        <v>20000</v>
      </c>
      <c r="B18" s="63">
        <v>413</v>
      </c>
      <c r="C18" s="63">
        <v>413</v>
      </c>
      <c r="D18" s="63">
        <v>337</v>
      </c>
      <c r="E18" s="63">
        <v>268</v>
      </c>
      <c r="F18" s="64">
        <v>220</v>
      </c>
    </row>
    <row r="19" spans="1:6" x14ac:dyDescent="0.3">
      <c r="A19" s="65">
        <v>50000</v>
      </c>
      <c r="B19" s="63">
        <v>337</v>
      </c>
      <c r="C19" s="63">
        <v>337</v>
      </c>
      <c r="D19" s="63">
        <v>275</v>
      </c>
      <c r="E19" s="63">
        <v>220</v>
      </c>
      <c r="F19" s="64">
        <v>186</v>
      </c>
    </row>
    <row r="20" spans="1:6" x14ac:dyDescent="0.3">
      <c r="A20" s="65">
        <v>100000</v>
      </c>
      <c r="B20" s="63">
        <v>296</v>
      </c>
      <c r="C20" s="63">
        <v>296</v>
      </c>
      <c r="D20" s="63">
        <v>241</v>
      </c>
      <c r="E20" s="63">
        <v>193</v>
      </c>
      <c r="F20" s="64">
        <v>158</v>
      </c>
    </row>
    <row r="21" spans="1:6" x14ac:dyDescent="0.3">
      <c r="A21" s="65">
        <v>200000</v>
      </c>
      <c r="B21" s="63">
        <v>262</v>
      </c>
      <c r="C21" s="63">
        <v>262</v>
      </c>
      <c r="D21" s="63">
        <v>23</v>
      </c>
      <c r="E21" s="63">
        <v>172</v>
      </c>
      <c r="F21" s="64">
        <v>137</v>
      </c>
    </row>
    <row r="22" spans="1:6" x14ac:dyDescent="0.3">
      <c r="A22" s="65">
        <v>500000</v>
      </c>
      <c r="B22" s="63">
        <v>227</v>
      </c>
      <c r="C22" s="63">
        <v>227</v>
      </c>
      <c r="D22" s="63">
        <v>186</v>
      </c>
      <c r="E22" s="63">
        <v>151</v>
      </c>
      <c r="F22" s="64">
        <v>124</v>
      </c>
    </row>
    <row r="23" spans="1:6" x14ac:dyDescent="0.3">
      <c r="A23" s="65">
        <v>1000000</v>
      </c>
      <c r="B23" s="63">
        <v>213</v>
      </c>
      <c r="C23" s="63">
        <v>213</v>
      </c>
      <c r="D23" s="63">
        <v>172</v>
      </c>
      <c r="E23" s="63">
        <v>137</v>
      </c>
      <c r="F23" s="64">
        <v>110</v>
      </c>
    </row>
    <row r="24" spans="1:6" x14ac:dyDescent="0.3">
      <c r="A24" s="65">
        <v>2000000</v>
      </c>
      <c r="B24" s="63">
        <v>199</v>
      </c>
      <c r="C24" s="63">
        <v>199</v>
      </c>
      <c r="D24" s="63">
        <v>158</v>
      </c>
      <c r="E24" s="63">
        <v>131</v>
      </c>
      <c r="F24" s="64">
        <v>103</v>
      </c>
    </row>
    <row r="25" spans="1:6" x14ac:dyDescent="0.3">
      <c r="A25" s="65">
        <v>5000000</v>
      </c>
      <c r="B25" s="63">
        <v>186</v>
      </c>
      <c r="C25" s="63">
        <v>186</v>
      </c>
      <c r="D25" s="63">
        <v>148</v>
      </c>
      <c r="E25" s="63">
        <v>120</v>
      </c>
      <c r="F25" s="64">
        <v>97</v>
      </c>
    </row>
    <row r="26" spans="1:6" x14ac:dyDescent="0.3">
      <c r="A26" s="65">
        <v>10000000</v>
      </c>
      <c r="B26" s="63">
        <v>181</v>
      </c>
      <c r="C26" s="63">
        <v>181</v>
      </c>
      <c r="D26" s="63">
        <v>142</v>
      </c>
      <c r="E26" s="63">
        <v>115</v>
      </c>
      <c r="F26" s="64">
        <v>95</v>
      </c>
    </row>
    <row r="27" spans="1:6" x14ac:dyDescent="0.3">
      <c r="A27" s="65">
        <v>20000000</v>
      </c>
      <c r="B27" s="63">
        <v>175</v>
      </c>
      <c r="C27" s="63">
        <v>175</v>
      </c>
      <c r="D27" s="63">
        <v>139</v>
      </c>
      <c r="E27" s="63">
        <v>113</v>
      </c>
      <c r="F27" s="64">
        <v>91</v>
      </c>
    </row>
    <row r="28" spans="1:6" x14ac:dyDescent="0.3">
      <c r="A28" s="65">
        <v>50000000</v>
      </c>
      <c r="B28" s="63">
        <v>170</v>
      </c>
      <c r="C28" s="63">
        <v>170</v>
      </c>
      <c r="D28" s="63">
        <v>135</v>
      </c>
      <c r="E28" s="63">
        <v>109</v>
      </c>
      <c r="F28" s="64">
        <v>88</v>
      </c>
    </row>
    <row r="29" spans="1:6" x14ac:dyDescent="0.3">
      <c r="A29" s="65">
        <v>100000000</v>
      </c>
      <c r="B29" s="63">
        <v>169</v>
      </c>
      <c r="C29" s="63">
        <v>169</v>
      </c>
      <c r="D29" s="63">
        <v>135</v>
      </c>
      <c r="E29" s="63">
        <v>108</v>
      </c>
      <c r="F29" s="64">
        <v>87</v>
      </c>
    </row>
    <row r="30" spans="1:6" x14ac:dyDescent="0.3">
      <c r="A30" s="65">
        <v>100000000000</v>
      </c>
      <c r="B30" s="63">
        <v>157</v>
      </c>
      <c r="C30" s="63">
        <v>157</v>
      </c>
      <c r="D30" s="63">
        <v>126</v>
      </c>
      <c r="E30" s="63">
        <v>102</v>
      </c>
      <c r="F30" s="64">
        <v>83</v>
      </c>
    </row>
    <row r="31" spans="1:6" ht="15" thickBot="1" x14ac:dyDescent="0.35">
      <c r="A31" s="70">
        <v>100000000000</v>
      </c>
      <c r="B31" s="68">
        <v>0</v>
      </c>
      <c r="C31" s="68">
        <v>0</v>
      </c>
      <c r="D31" s="68">
        <v>0</v>
      </c>
      <c r="E31" s="68">
        <v>0</v>
      </c>
      <c r="F31" s="69">
        <v>0</v>
      </c>
    </row>
  </sheetData>
  <mergeCells count="2">
    <mergeCell ref="B3:C3"/>
    <mergeCell ref="C1:F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581A-3C59-46E7-A0C7-22A3B97D6358}">
  <dimension ref="A1:E16"/>
  <sheetViews>
    <sheetView zoomScale="145" zoomScaleNormal="145" workbookViewId="0">
      <selection activeCell="G16" sqref="G16:G18"/>
    </sheetView>
  </sheetViews>
  <sheetFormatPr defaultRowHeight="14.4" x14ac:dyDescent="0.3"/>
  <sheetData>
    <row r="1" spans="1:5" ht="16.2" thickBot="1" x14ac:dyDescent="0.35">
      <c r="A1" s="78" t="s">
        <v>17</v>
      </c>
      <c r="B1" s="79"/>
      <c r="C1" s="79"/>
      <c r="D1" s="80"/>
      <c r="E1" s="49" t="s">
        <v>18</v>
      </c>
    </row>
    <row r="2" spans="1:5" ht="15" thickBot="1" x14ac:dyDescent="0.35">
      <c r="A2" s="39"/>
      <c r="B2" s="81" t="s">
        <v>11</v>
      </c>
      <c r="C2" s="82"/>
      <c r="D2" s="82"/>
      <c r="E2" s="83"/>
    </row>
    <row r="3" spans="1:5" ht="15" thickBot="1" x14ac:dyDescent="0.35">
      <c r="A3" s="20" t="s">
        <v>10</v>
      </c>
      <c r="B3" s="50">
        <v>0</v>
      </c>
      <c r="C3" s="51">
        <v>9.9900000000000006E-3</v>
      </c>
      <c r="D3" s="51">
        <v>0.01</v>
      </c>
      <c r="E3" s="52">
        <v>100</v>
      </c>
    </row>
    <row r="4" spans="1:5" x14ac:dyDescent="0.3">
      <c r="A4" s="40">
        <v>0</v>
      </c>
      <c r="B4" s="44">
        <v>425</v>
      </c>
      <c r="C4" s="44">
        <v>425</v>
      </c>
      <c r="D4" s="45">
        <v>401</v>
      </c>
      <c r="E4" s="45">
        <v>401</v>
      </c>
    </row>
    <row r="5" spans="1:5" x14ac:dyDescent="0.3">
      <c r="A5" s="21">
        <v>20</v>
      </c>
      <c r="B5" s="35">
        <v>425</v>
      </c>
      <c r="C5" s="35">
        <v>425</v>
      </c>
      <c r="D5" s="46">
        <v>401</v>
      </c>
      <c r="E5" s="46">
        <v>401</v>
      </c>
    </row>
    <row r="6" spans="1:5" x14ac:dyDescent="0.3">
      <c r="A6" s="21">
        <v>50</v>
      </c>
      <c r="B6" s="35">
        <v>425</v>
      </c>
      <c r="C6" s="35">
        <v>425</v>
      </c>
      <c r="D6" s="46">
        <v>398</v>
      </c>
      <c r="E6" s="46">
        <v>398</v>
      </c>
    </row>
    <row r="7" spans="1:5" x14ac:dyDescent="0.3">
      <c r="A7" s="21">
        <v>100</v>
      </c>
      <c r="B7" s="35">
        <v>425</v>
      </c>
      <c r="C7" s="35">
        <v>425</v>
      </c>
      <c r="D7" s="46">
        <v>391</v>
      </c>
      <c r="E7" s="46">
        <v>391</v>
      </c>
    </row>
    <row r="8" spans="1:5" x14ac:dyDescent="0.3">
      <c r="A8" s="21">
        <v>150</v>
      </c>
      <c r="B8" s="35">
        <v>425</v>
      </c>
      <c r="C8" s="35">
        <v>425</v>
      </c>
      <c r="D8" s="46">
        <v>386</v>
      </c>
      <c r="E8" s="46">
        <v>386</v>
      </c>
    </row>
    <row r="9" spans="1:5" x14ac:dyDescent="0.3">
      <c r="A9" s="21">
        <v>200</v>
      </c>
      <c r="B9" s="35">
        <v>425</v>
      </c>
      <c r="C9" s="35">
        <v>425</v>
      </c>
      <c r="D9" s="46">
        <v>380</v>
      </c>
      <c r="E9" s="46">
        <v>380</v>
      </c>
    </row>
    <row r="10" spans="1:5" x14ac:dyDescent="0.3">
      <c r="A10" s="38">
        <v>250</v>
      </c>
      <c r="B10" s="36">
        <v>425</v>
      </c>
      <c r="C10" s="36">
        <v>425</v>
      </c>
      <c r="D10" s="47">
        <v>374</v>
      </c>
      <c r="E10" s="47">
        <v>374</v>
      </c>
    </row>
    <row r="11" spans="1:5" x14ac:dyDescent="0.3">
      <c r="A11" s="21">
        <v>300</v>
      </c>
      <c r="B11" s="35">
        <v>425</v>
      </c>
      <c r="C11" s="35">
        <v>425</v>
      </c>
      <c r="D11" s="46">
        <v>368</v>
      </c>
      <c r="E11" s="46">
        <v>368</v>
      </c>
    </row>
    <row r="12" spans="1:5" x14ac:dyDescent="0.3">
      <c r="A12" s="38">
        <v>350</v>
      </c>
      <c r="B12" s="36">
        <v>425</v>
      </c>
      <c r="C12" s="36">
        <v>425</v>
      </c>
      <c r="D12" s="47">
        <v>362</v>
      </c>
      <c r="E12" s="47">
        <v>362</v>
      </c>
    </row>
    <row r="13" spans="1:5" x14ac:dyDescent="0.3">
      <c r="A13" s="21">
        <v>400</v>
      </c>
      <c r="B13" s="35">
        <v>420</v>
      </c>
      <c r="C13" s="35">
        <v>420</v>
      </c>
      <c r="D13" s="46">
        <v>357</v>
      </c>
      <c r="E13" s="46">
        <v>357</v>
      </c>
    </row>
    <row r="14" spans="1:5" x14ac:dyDescent="0.3">
      <c r="A14" s="21">
        <v>450</v>
      </c>
      <c r="B14" s="35">
        <v>414</v>
      </c>
      <c r="C14" s="35">
        <v>414</v>
      </c>
      <c r="D14" s="46">
        <v>351</v>
      </c>
      <c r="E14" s="46">
        <v>351</v>
      </c>
    </row>
    <row r="15" spans="1:5" x14ac:dyDescent="0.3">
      <c r="A15" s="21">
        <v>500</v>
      </c>
      <c r="B15" s="35">
        <v>408</v>
      </c>
      <c r="C15" s="35">
        <v>408</v>
      </c>
      <c r="D15" s="46">
        <v>347</v>
      </c>
      <c r="E15" s="46">
        <v>347</v>
      </c>
    </row>
    <row r="16" spans="1:5" ht="15" thickBot="1" x14ac:dyDescent="0.35">
      <c r="A16" s="22">
        <v>700</v>
      </c>
      <c r="B16" s="37">
        <v>0</v>
      </c>
      <c r="C16" s="37">
        <v>0</v>
      </c>
      <c r="D16" s="19">
        <f>B16</f>
        <v>0</v>
      </c>
      <c r="E16" s="19">
        <v>0</v>
      </c>
    </row>
  </sheetData>
  <mergeCells count="2">
    <mergeCell ref="A1:D1"/>
    <mergeCell ref="B2:E2"/>
  </mergeCells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59BE-600F-465A-9C73-696CD2164805}">
  <dimension ref="A1:C10"/>
  <sheetViews>
    <sheetView workbookViewId="0">
      <selection activeCell="E5" sqref="E5"/>
    </sheetView>
  </sheetViews>
  <sheetFormatPr defaultColWidth="8.88671875" defaultRowHeight="14.4" x14ac:dyDescent="0.3"/>
  <cols>
    <col min="1" max="16384" width="8.88671875" style="1"/>
  </cols>
  <sheetData>
    <row r="1" spans="1:3" s="73" customFormat="1" x14ac:dyDescent="0.3"/>
    <row r="2" spans="1:3" s="73" customFormat="1" x14ac:dyDescent="0.3">
      <c r="B2" s="74" t="s">
        <v>12</v>
      </c>
      <c r="C2" s="74"/>
    </row>
    <row r="3" spans="1:3" ht="15" customHeight="1" x14ac:dyDescent="0.3">
      <c r="A3" s="24" t="s">
        <v>10</v>
      </c>
      <c r="B3" s="24">
        <v>1</v>
      </c>
      <c r="C3" s="72">
        <v>0</v>
      </c>
    </row>
    <row r="4" spans="1:3" x14ac:dyDescent="0.3">
      <c r="A4" s="1">
        <v>50</v>
      </c>
      <c r="B4" s="15">
        <v>0</v>
      </c>
      <c r="C4" s="15">
        <v>0</v>
      </c>
    </row>
    <row r="5" spans="1:3" x14ac:dyDescent="0.3">
      <c r="A5" s="1">
        <v>100</v>
      </c>
      <c r="B5" s="15">
        <v>0</v>
      </c>
      <c r="C5" s="15">
        <v>0</v>
      </c>
    </row>
    <row r="6" spans="1:3" x14ac:dyDescent="0.3">
      <c r="A6" s="1">
        <v>150</v>
      </c>
      <c r="B6" s="15">
        <v>0</v>
      </c>
      <c r="C6" s="15">
        <v>0</v>
      </c>
    </row>
    <row r="7" spans="1:3" x14ac:dyDescent="0.3">
      <c r="A7" s="1">
        <v>200</v>
      </c>
      <c r="B7" s="15">
        <v>0</v>
      </c>
      <c r="C7" s="15">
        <v>0</v>
      </c>
    </row>
    <row r="8" spans="1:3" x14ac:dyDescent="0.3">
      <c r="A8" s="1">
        <v>250</v>
      </c>
      <c r="B8" s="15">
        <v>0</v>
      </c>
      <c r="C8" s="15">
        <v>0</v>
      </c>
    </row>
    <row r="9" spans="1:3" x14ac:dyDescent="0.3">
      <c r="A9" s="1">
        <v>300</v>
      </c>
      <c r="B9" s="15">
        <v>0</v>
      </c>
      <c r="C9" s="15">
        <v>0</v>
      </c>
    </row>
    <row r="10" spans="1:3" x14ac:dyDescent="0.3">
      <c r="A10" s="1">
        <v>350</v>
      </c>
      <c r="B10" s="15">
        <v>0</v>
      </c>
      <c r="C10" s="15">
        <v>0</v>
      </c>
    </row>
  </sheetData>
  <mergeCells count="1">
    <mergeCell ref="B2:C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B7B7-B490-4CD3-AB1A-AACEAE39BE05}">
  <dimension ref="A1:E20"/>
  <sheetViews>
    <sheetView workbookViewId="0">
      <selection activeCell="C14" sqref="C14"/>
    </sheetView>
  </sheetViews>
  <sheetFormatPr defaultColWidth="8.88671875" defaultRowHeight="14.4" x14ac:dyDescent="0.3"/>
  <cols>
    <col min="1" max="1" width="13.33203125" style="1" customWidth="1"/>
    <col min="2" max="2" width="8.88671875" style="1"/>
    <col min="3" max="3" width="8.88671875" style="54"/>
    <col min="4" max="16384" width="8.88671875" style="1"/>
  </cols>
  <sheetData>
    <row r="1" spans="1:5" x14ac:dyDescent="0.3">
      <c r="A1" s="1" t="s">
        <v>14</v>
      </c>
    </row>
    <row r="2" spans="1:5" x14ac:dyDescent="0.3">
      <c r="B2" s="74" t="s">
        <v>12</v>
      </c>
      <c r="C2" s="74"/>
      <c r="D2" s="74"/>
    </row>
    <row r="3" spans="1:5" x14ac:dyDescent="0.3">
      <c r="A3" s="24" t="s">
        <v>10</v>
      </c>
      <c r="B3" s="24">
        <v>0</v>
      </c>
      <c r="C3" s="53">
        <v>9.9900000000000006E-3</v>
      </c>
      <c r="D3" s="55">
        <v>0.01</v>
      </c>
      <c r="E3" s="1">
        <v>100</v>
      </c>
    </row>
    <row r="4" spans="1:5" x14ac:dyDescent="0.3">
      <c r="A4" s="43">
        <v>20</v>
      </c>
      <c r="B4" s="43">
        <v>1035</v>
      </c>
      <c r="C4" s="43">
        <v>1035</v>
      </c>
      <c r="D4" s="43">
        <v>880</v>
      </c>
      <c r="E4" s="43">
        <v>880</v>
      </c>
    </row>
    <row r="5" spans="1:5" x14ac:dyDescent="0.3">
      <c r="A5" s="43">
        <v>50</v>
      </c>
      <c r="B5" s="43">
        <v>1017</v>
      </c>
      <c r="C5" s="43">
        <v>1017</v>
      </c>
      <c r="D5" s="43">
        <v>864</v>
      </c>
      <c r="E5" s="43">
        <v>864</v>
      </c>
    </row>
    <row r="6" spans="1:5" x14ac:dyDescent="0.3">
      <c r="A6" s="43">
        <v>100</v>
      </c>
      <c r="B6" s="43">
        <v>991</v>
      </c>
      <c r="C6" s="43">
        <v>991</v>
      </c>
      <c r="D6" s="43">
        <v>842</v>
      </c>
      <c r="E6" s="43">
        <v>842</v>
      </c>
    </row>
    <row r="7" spans="1:5" x14ac:dyDescent="0.3">
      <c r="A7" s="43">
        <v>150</v>
      </c>
      <c r="B7" s="43">
        <v>972</v>
      </c>
      <c r="C7" s="43">
        <v>972</v>
      </c>
      <c r="D7" s="43">
        <v>826</v>
      </c>
      <c r="E7" s="43">
        <v>826</v>
      </c>
    </row>
    <row r="8" spans="1:5" x14ac:dyDescent="0.3">
      <c r="A8" s="43">
        <v>200</v>
      </c>
      <c r="B8" s="43">
        <v>957</v>
      </c>
      <c r="C8" s="43">
        <v>957</v>
      </c>
      <c r="D8" s="43">
        <v>813</v>
      </c>
      <c r="E8" s="43">
        <v>813</v>
      </c>
    </row>
    <row r="9" spans="1:5" x14ac:dyDescent="0.3">
      <c r="A9" s="43">
        <v>250</v>
      </c>
      <c r="B9" s="43">
        <v>946</v>
      </c>
      <c r="C9" s="43">
        <v>946</v>
      </c>
      <c r="D9" s="43">
        <v>804</v>
      </c>
      <c r="E9" s="43">
        <v>804</v>
      </c>
    </row>
    <row r="10" spans="1:5" x14ac:dyDescent="0.3">
      <c r="A10" s="43">
        <v>300</v>
      </c>
      <c r="B10" s="43">
        <v>938</v>
      </c>
      <c r="C10" s="43">
        <v>938</v>
      </c>
      <c r="D10" s="43">
        <v>797</v>
      </c>
      <c r="E10" s="43">
        <v>797</v>
      </c>
    </row>
    <row r="11" spans="1:5" x14ac:dyDescent="0.3">
      <c r="A11" s="43">
        <v>350</v>
      </c>
      <c r="B11" s="43">
        <v>931</v>
      </c>
      <c r="C11" s="43">
        <v>931</v>
      </c>
      <c r="D11" s="43">
        <v>791</v>
      </c>
      <c r="E11" s="43">
        <v>791</v>
      </c>
    </row>
    <row r="12" spans="1:5" x14ac:dyDescent="0.3">
      <c r="A12" s="43">
        <v>400</v>
      </c>
      <c r="B12" s="43">
        <v>924</v>
      </c>
      <c r="C12" s="43">
        <v>924</v>
      </c>
      <c r="D12" s="43">
        <v>785</v>
      </c>
      <c r="E12" s="43">
        <v>785</v>
      </c>
    </row>
    <row r="13" spans="1:5" x14ac:dyDescent="0.3">
      <c r="A13" s="43">
        <v>450</v>
      </c>
      <c r="B13" s="43">
        <v>915</v>
      </c>
      <c r="C13" s="43">
        <v>915</v>
      </c>
      <c r="D13" s="43">
        <v>778</v>
      </c>
      <c r="E13" s="43">
        <v>778</v>
      </c>
    </row>
    <row r="14" spans="1:5" x14ac:dyDescent="0.3">
      <c r="A14" s="43">
        <v>500</v>
      </c>
      <c r="B14" s="43">
        <v>905</v>
      </c>
      <c r="C14" s="43">
        <v>905</v>
      </c>
      <c r="D14" s="43">
        <v>769</v>
      </c>
      <c r="E14" s="43">
        <v>769</v>
      </c>
    </row>
    <row r="15" spans="1:5" x14ac:dyDescent="0.3">
      <c r="A15" s="43">
        <v>550</v>
      </c>
      <c r="B15" s="56">
        <v>0</v>
      </c>
      <c r="C15" s="56">
        <v>0</v>
      </c>
      <c r="D15" s="43">
        <v>757</v>
      </c>
      <c r="E15" s="43">
        <v>757</v>
      </c>
    </row>
    <row r="16" spans="1:5" x14ac:dyDescent="0.3">
      <c r="A16" s="43">
        <v>600</v>
      </c>
      <c r="B16" s="56">
        <v>0</v>
      </c>
      <c r="C16" s="56">
        <v>0</v>
      </c>
      <c r="D16" s="43">
        <v>740</v>
      </c>
      <c r="E16" s="43">
        <v>740</v>
      </c>
    </row>
    <row r="17" spans="1:3" x14ac:dyDescent="0.3">
      <c r="A17" s="43"/>
      <c r="B17" s="43"/>
      <c r="C17" s="43"/>
    </row>
    <row r="18" spans="1:3" x14ac:dyDescent="0.3">
      <c r="A18" s="43"/>
      <c r="B18" s="43"/>
      <c r="C18" s="43"/>
    </row>
    <row r="19" spans="1:3" x14ac:dyDescent="0.3">
      <c r="A19" s="43"/>
      <c r="B19" s="43"/>
      <c r="C19" s="43"/>
    </row>
    <row r="20" spans="1:3" x14ac:dyDescent="0.3">
      <c r="A20" s="43"/>
      <c r="B20" s="43"/>
      <c r="C20" s="43"/>
    </row>
  </sheetData>
  <mergeCells count="1">
    <mergeCell ref="B2:D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6E78-4B6E-4E72-8283-E849FD84C2E5}">
  <dimension ref="A1:E20"/>
  <sheetViews>
    <sheetView workbookViewId="0">
      <selection activeCell="F23" sqref="F23"/>
    </sheetView>
  </sheetViews>
  <sheetFormatPr defaultColWidth="8.88671875" defaultRowHeight="14.4" x14ac:dyDescent="0.3"/>
  <cols>
    <col min="1" max="2" width="8.88671875" style="1"/>
    <col min="3" max="3" width="8.88671875" style="54"/>
    <col min="4" max="16384" width="8.88671875" style="1"/>
  </cols>
  <sheetData>
    <row r="1" spans="1:5" x14ac:dyDescent="0.3">
      <c r="A1" s="74" t="s">
        <v>13</v>
      </c>
      <c r="B1" s="74"/>
      <c r="C1" s="74"/>
      <c r="D1" s="74"/>
    </row>
    <row r="2" spans="1:5" x14ac:dyDescent="0.3">
      <c r="B2" s="74" t="s">
        <v>12</v>
      </c>
      <c r="C2" s="74"/>
      <c r="D2" s="84"/>
    </row>
    <row r="3" spans="1:5" x14ac:dyDescent="0.3">
      <c r="A3" s="24" t="s">
        <v>10</v>
      </c>
      <c r="B3" s="24">
        <v>0</v>
      </c>
      <c r="C3" s="53">
        <v>9.9900000000000006E-3</v>
      </c>
      <c r="D3" s="55">
        <v>0.01</v>
      </c>
      <c r="E3" s="53">
        <v>100</v>
      </c>
    </row>
    <row r="4" spans="1:5" x14ac:dyDescent="0.3">
      <c r="A4" s="43">
        <v>20</v>
      </c>
      <c r="B4" s="43">
        <v>1275</v>
      </c>
      <c r="C4" s="43">
        <v>1275</v>
      </c>
      <c r="D4" s="43">
        <v>1084</v>
      </c>
      <c r="E4" s="43">
        <v>1084</v>
      </c>
    </row>
    <row r="5" spans="1:5" x14ac:dyDescent="0.3">
      <c r="A5" s="43">
        <v>50</v>
      </c>
      <c r="B5" s="43">
        <v>1263</v>
      </c>
      <c r="C5" s="43">
        <v>1263</v>
      </c>
      <c r="D5" s="43">
        <v>1074</v>
      </c>
      <c r="E5" s="43">
        <v>1074</v>
      </c>
    </row>
    <row r="6" spans="1:5" x14ac:dyDescent="0.3">
      <c r="A6" s="43">
        <v>65</v>
      </c>
      <c r="B6" s="43">
        <v>1258</v>
      </c>
      <c r="C6" s="43">
        <v>1258</v>
      </c>
      <c r="D6" s="43">
        <v>1069</v>
      </c>
      <c r="E6" s="43">
        <v>1069</v>
      </c>
    </row>
    <row r="7" spans="1:5" x14ac:dyDescent="0.3">
      <c r="A7" s="43">
        <v>100</v>
      </c>
      <c r="B7" s="43">
        <v>1244</v>
      </c>
      <c r="C7" s="43">
        <v>1244</v>
      </c>
      <c r="D7" s="43">
        <v>1057</v>
      </c>
      <c r="E7" s="43">
        <v>1057</v>
      </c>
    </row>
    <row r="8" spans="1:5" x14ac:dyDescent="0.3">
      <c r="A8" s="43">
        <v>150</v>
      </c>
      <c r="B8" s="43">
        <v>1225</v>
      </c>
      <c r="C8" s="43">
        <v>1225</v>
      </c>
      <c r="D8" s="43">
        <v>1041</v>
      </c>
      <c r="E8" s="43">
        <v>1041</v>
      </c>
    </row>
    <row r="9" spans="1:5" x14ac:dyDescent="0.3">
      <c r="A9" s="43">
        <v>200</v>
      </c>
      <c r="B9" s="43">
        <v>1206</v>
      </c>
      <c r="C9" s="43">
        <v>1206</v>
      </c>
      <c r="D9" s="43">
        <v>1025</v>
      </c>
      <c r="E9" s="43">
        <v>1025</v>
      </c>
    </row>
    <row r="10" spans="1:5" x14ac:dyDescent="0.3">
      <c r="A10" s="43">
        <v>250</v>
      </c>
      <c r="B10" s="43">
        <v>1187</v>
      </c>
      <c r="C10" s="43">
        <v>1187</v>
      </c>
      <c r="D10" s="43">
        <v>1009</v>
      </c>
      <c r="E10" s="43">
        <v>1009</v>
      </c>
    </row>
    <row r="11" spans="1:5" x14ac:dyDescent="0.3">
      <c r="A11" s="43">
        <v>300</v>
      </c>
      <c r="B11" s="43">
        <v>1169</v>
      </c>
      <c r="C11" s="43">
        <v>1169</v>
      </c>
      <c r="D11" s="43">
        <v>994</v>
      </c>
      <c r="E11" s="43">
        <v>994</v>
      </c>
    </row>
    <row r="12" spans="1:5" x14ac:dyDescent="0.3">
      <c r="A12" s="43">
        <v>350</v>
      </c>
      <c r="B12" s="43">
        <v>1151</v>
      </c>
      <c r="C12" s="43">
        <v>1151</v>
      </c>
      <c r="D12" s="43">
        <v>978</v>
      </c>
      <c r="E12" s="43">
        <v>978</v>
      </c>
    </row>
    <row r="13" spans="1:5" x14ac:dyDescent="0.3">
      <c r="A13" s="43">
        <v>400</v>
      </c>
      <c r="B13" s="43">
        <v>1133</v>
      </c>
      <c r="C13" s="43">
        <v>1133</v>
      </c>
      <c r="D13" s="43">
        <v>963</v>
      </c>
      <c r="E13" s="43">
        <v>963</v>
      </c>
    </row>
    <row r="14" spans="1:5" x14ac:dyDescent="0.3">
      <c r="A14" s="43">
        <v>450</v>
      </c>
      <c r="B14" s="43">
        <v>1117</v>
      </c>
      <c r="C14" s="43">
        <v>1117</v>
      </c>
      <c r="D14" s="43">
        <v>949</v>
      </c>
      <c r="E14" s="43">
        <v>949</v>
      </c>
    </row>
    <row r="15" spans="1:5" x14ac:dyDescent="0.3">
      <c r="A15" s="43">
        <v>500</v>
      </c>
      <c r="B15" s="43">
        <v>1102</v>
      </c>
      <c r="C15" s="43">
        <v>1102</v>
      </c>
      <c r="D15" s="43">
        <v>937</v>
      </c>
      <c r="E15" s="43">
        <v>937</v>
      </c>
    </row>
    <row r="16" spans="1:5" x14ac:dyDescent="0.3">
      <c r="A16" s="43">
        <v>550</v>
      </c>
      <c r="B16" s="43">
        <v>1088</v>
      </c>
      <c r="C16" s="43">
        <v>1088</v>
      </c>
      <c r="D16" s="43">
        <v>925</v>
      </c>
      <c r="E16" s="43">
        <v>925</v>
      </c>
    </row>
    <row r="17" spans="1:5" x14ac:dyDescent="0.3">
      <c r="A17" s="43">
        <v>600</v>
      </c>
      <c r="B17" s="43">
        <v>1076</v>
      </c>
      <c r="C17" s="43">
        <v>1076</v>
      </c>
      <c r="D17" s="43">
        <v>915</v>
      </c>
      <c r="E17" s="43">
        <v>915</v>
      </c>
    </row>
    <row r="18" spans="1:5" x14ac:dyDescent="0.3">
      <c r="A18" s="43"/>
      <c r="B18" s="43"/>
      <c r="C18" s="43"/>
    </row>
    <row r="19" spans="1:5" x14ac:dyDescent="0.3">
      <c r="A19" s="43"/>
      <c r="B19" s="43"/>
      <c r="C19" s="43"/>
    </row>
    <row r="20" spans="1:5" x14ac:dyDescent="0.3">
      <c r="A20" s="43"/>
      <c r="B20" s="43"/>
      <c r="C20" s="43"/>
    </row>
  </sheetData>
  <mergeCells count="2">
    <mergeCell ref="A1:D1"/>
    <mergeCell ref="B2:D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757A-8ADF-4E45-B0FD-F8E8977941F9}">
  <dimension ref="A1:L11"/>
  <sheetViews>
    <sheetView workbookViewId="0">
      <selection activeCell="H30" sqref="H30"/>
    </sheetView>
  </sheetViews>
  <sheetFormatPr defaultRowHeight="14.4" x14ac:dyDescent="0.3"/>
  <cols>
    <col min="1" max="1" width="11.5546875" customWidth="1"/>
  </cols>
  <sheetData>
    <row r="1" spans="1:12" x14ac:dyDescent="0.3">
      <c r="A1" t="s">
        <v>16</v>
      </c>
    </row>
    <row r="2" spans="1:12" x14ac:dyDescent="0.3">
      <c r="A2" s="25"/>
      <c r="B2" s="74" t="s">
        <v>12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5" thickBot="1" x14ac:dyDescent="0.35">
      <c r="A3" s="28" t="s">
        <v>10</v>
      </c>
      <c r="B3" s="29">
        <v>0</v>
      </c>
      <c r="C3" s="30">
        <v>0.5</v>
      </c>
      <c r="D3" s="30">
        <v>1</v>
      </c>
      <c r="E3" s="30">
        <v>1.5</v>
      </c>
      <c r="F3" s="30">
        <v>2</v>
      </c>
      <c r="G3" s="30">
        <v>2.5</v>
      </c>
      <c r="H3" s="30">
        <v>3</v>
      </c>
      <c r="I3" s="30">
        <v>3.5</v>
      </c>
      <c r="J3" s="30">
        <v>4</v>
      </c>
      <c r="K3" s="30">
        <v>4.5</v>
      </c>
      <c r="L3" s="31">
        <v>5</v>
      </c>
    </row>
    <row r="4" spans="1:12" x14ac:dyDescent="0.3">
      <c r="A4" s="32">
        <v>20</v>
      </c>
      <c r="B4" s="27" t="s">
        <v>23</v>
      </c>
      <c r="C4" s="27" t="s">
        <v>23</v>
      </c>
      <c r="D4" s="27" t="s">
        <v>23</v>
      </c>
      <c r="E4" s="27" t="s">
        <v>23</v>
      </c>
      <c r="F4" s="27" t="s">
        <v>23</v>
      </c>
      <c r="G4" s="27" t="s">
        <v>23</v>
      </c>
      <c r="H4" s="27" t="s">
        <v>23</v>
      </c>
      <c r="I4" s="27" t="s">
        <v>23</v>
      </c>
      <c r="J4" s="27" t="s">
        <v>23</v>
      </c>
      <c r="K4" s="27" t="s">
        <v>23</v>
      </c>
      <c r="L4" s="27" t="s">
        <v>23</v>
      </c>
    </row>
    <row r="5" spans="1:12" x14ac:dyDescent="0.3">
      <c r="A5" s="33">
        <v>50</v>
      </c>
      <c r="B5" s="27" t="s">
        <v>23</v>
      </c>
      <c r="C5" s="27" t="s">
        <v>23</v>
      </c>
      <c r="D5" s="27" t="s">
        <v>23</v>
      </c>
      <c r="E5" s="27" t="s">
        <v>23</v>
      </c>
      <c r="F5" s="27" t="s">
        <v>23</v>
      </c>
      <c r="G5" s="27" t="s">
        <v>23</v>
      </c>
      <c r="H5" s="27" t="s">
        <v>23</v>
      </c>
      <c r="I5" s="27" t="s">
        <v>23</v>
      </c>
      <c r="J5" s="27" t="s">
        <v>23</v>
      </c>
      <c r="K5" s="27" t="s">
        <v>23</v>
      </c>
      <c r="L5" s="27" t="s">
        <v>23</v>
      </c>
    </row>
    <row r="6" spans="1:12" x14ac:dyDescent="0.3">
      <c r="A6" s="33">
        <v>100</v>
      </c>
      <c r="B6" s="27" t="s">
        <v>23</v>
      </c>
      <c r="C6" s="27" t="s">
        <v>23</v>
      </c>
      <c r="D6" s="27" t="s">
        <v>23</v>
      </c>
      <c r="E6" s="27" t="s">
        <v>23</v>
      </c>
      <c r="F6" s="27" t="s">
        <v>23</v>
      </c>
      <c r="G6" s="27" t="s">
        <v>23</v>
      </c>
      <c r="H6" s="27" t="s">
        <v>23</v>
      </c>
      <c r="I6" s="27" t="s">
        <v>23</v>
      </c>
      <c r="J6" s="27" t="s">
        <v>23</v>
      </c>
      <c r="K6" s="27" t="s">
        <v>23</v>
      </c>
      <c r="L6" s="27" t="s">
        <v>23</v>
      </c>
    </row>
    <row r="7" spans="1:12" x14ac:dyDescent="0.3">
      <c r="A7" s="33">
        <v>150</v>
      </c>
      <c r="B7" s="27" t="s">
        <v>23</v>
      </c>
      <c r="C7" s="27" t="s">
        <v>23</v>
      </c>
      <c r="D7" s="27" t="s">
        <v>23</v>
      </c>
      <c r="E7" s="27" t="s">
        <v>23</v>
      </c>
      <c r="F7" s="27" t="s">
        <v>23</v>
      </c>
      <c r="G7" s="27" t="s">
        <v>23</v>
      </c>
      <c r="H7" s="27" t="s">
        <v>23</v>
      </c>
      <c r="I7" s="27" t="s">
        <v>23</v>
      </c>
      <c r="J7" s="27" t="s">
        <v>23</v>
      </c>
      <c r="K7" s="27" t="s">
        <v>23</v>
      </c>
      <c r="L7" s="27" t="s">
        <v>23</v>
      </c>
    </row>
    <row r="8" spans="1:12" x14ac:dyDescent="0.3">
      <c r="A8" s="33">
        <v>200</v>
      </c>
      <c r="B8" s="27" t="s">
        <v>23</v>
      </c>
      <c r="C8" s="27" t="s">
        <v>23</v>
      </c>
      <c r="D8" s="27" t="s">
        <v>23</v>
      </c>
      <c r="E8" s="27" t="s">
        <v>23</v>
      </c>
      <c r="F8" s="27" t="s">
        <v>23</v>
      </c>
      <c r="G8" s="27" t="s">
        <v>23</v>
      </c>
      <c r="H8" s="27" t="s">
        <v>23</v>
      </c>
      <c r="I8" s="27" t="s">
        <v>23</v>
      </c>
      <c r="J8" s="27" t="s">
        <v>23</v>
      </c>
      <c r="K8" s="27" t="s">
        <v>23</v>
      </c>
      <c r="L8" s="27" t="s">
        <v>23</v>
      </c>
    </row>
    <row r="9" spans="1:12" x14ac:dyDescent="0.3">
      <c r="A9" s="33">
        <v>250</v>
      </c>
      <c r="B9" s="27" t="s">
        <v>23</v>
      </c>
      <c r="C9" s="27" t="s">
        <v>23</v>
      </c>
      <c r="D9" s="27" t="s">
        <v>23</v>
      </c>
      <c r="E9" s="27" t="s">
        <v>23</v>
      </c>
      <c r="F9" s="27" t="s">
        <v>23</v>
      </c>
      <c r="G9" s="27" t="s">
        <v>23</v>
      </c>
      <c r="H9" s="27" t="s">
        <v>23</v>
      </c>
      <c r="I9" s="27" t="s">
        <v>23</v>
      </c>
      <c r="J9" s="27" t="s">
        <v>23</v>
      </c>
      <c r="K9" s="27" t="s">
        <v>23</v>
      </c>
      <c r="L9" s="27" t="s">
        <v>23</v>
      </c>
    </row>
    <row r="10" spans="1:12" x14ac:dyDescent="0.3">
      <c r="A10" s="33">
        <v>300</v>
      </c>
      <c r="B10" s="27" t="s">
        <v>23</v>
      </c>
      <c r="C10" s="27" t="s">
        <v>23</v>
      </c>
      <c r="D10" s="27" t="s">
        <v>23</v>
      </c>
      <c r="E10" s="27" t="s">
        <v>23</v>
      </c>
      <c r="F10" s="27" t="s">
        <v>23</v>
      </c>
      <c r="G10" s="27" t="s">
        <v>23</v>
      </c>
      <c r="H10" s="27" t="s">
        <v>23</v>
      </c>
      <c r="I10" s="27" t="s">
        <v>23</v>
      </c>
      <c r="J10" s="27" t="s">
        <v>23</v>
      </c>
      <c r="K10" s="27" t="s">
        <v>23</v>
      </c>
      <c r="L10" s="27" t="s">
        <v>23</v>
      </c>
    </row>
    <row r="11" spans="1:12" x14ac:dyDescent="0.3">
      <c r="A11" s="34">
        <v>350</v>
      </c>
      <c r="B11" s="27" t="s">
        <v>23</v>
      </c>
      <c r="C11" s="27" t="s">
        <v>23</v>
      </c>
      <c r="D11" s="27" t="s">
        <v>23</v>
      </c>
      <c r="E11" s="27" t="s">
        <v>23</v>
      </c>
      <c r="F11" s="27" t="s">
        <v>23</v>
      </c>
      <c r="G11" s="27" t="s">
        <v>23</v>
      </c>
      <c r="H11" s="27" t="s">
        <v>23</v>
      </c>
      <c r="I11" s="27" t="s">
        <v>23</v>
      </c>
      <c r="J11" s="27" t="s">
        <v>23</v>
      </c>
      <c r="K11" s="27" t="s">
        <v>23</v>
      </c>
      <c r="L11" s="27" t="s">
        <v>23</v>
      </c>
    </row>
  </sheetData>
  <mergeCells count="1">
    <mergeCell ref="B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D92A-97ED-46FD-B28E-A85C9172A402}">
  <dimension ref="A1:L11"/>
  <sheetViews>
    <sheetView tabSelected="1" workbookViewId="0">
      <selection activeCell="L17" sqref="L17"/>
    </sheetView>
  </sheetViews>
  <sheetFormatPr defaultRowHeight="14.4" x14ac:dyDescent="0.3"/>
  <sheetData>
    <row r="1" spans="1:12" x14ac:dyDescent="0.3">
      <c r="A1" t="s">
        <v>15</v>
      </c>
    </row>
    <row r="2" spans="1:12" x14ac:dyDescent="0.3">
      <c r="A2" s="25"/>
      <c r="B2" s="74" t="s">
        <v>11</v>
      </c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2" ht="15" thickBot="1" x14ac:dyDescent="0.35">
      <c r="A3" s="28" t="s">
        <v>10</v>
      </c>
      <c r="B3" s="29">
        <v>0</v>
      </c>
      <c r="C3" s="30">
        <v>0.5</v>
      </c>
      <c r="D3" s="30">
        <v>1</v>
      </c>
      <c r="E3" s="30">
        <v>1.5</v>
      </c>
      <c r="F3" s="30">
        <v>2</v>
      </c>
      <c r="G3" s="30">
        <v>2.5</v>
      </c>
      <c r="H3" s="30">
        <v>3</v>
      </c>
      <c r="I3" s="30">
        <v>3.5</v>
      </c>
      <c r="J3" s="30">
        <v>4</v>
      </c>
      <c r="K3" s="30">
        <v>4.5</v>
      </c>
      <c r="L3" s="31">
        <v>5</v>
      </c>
    </row>
    <row r="4" spans="1:12" x14ac:dyDescent="0.3">
      <c r="A4" s="32">
        <v>20</v>
      </c>
      <c r="B4" s="27" t="s">
        <v>23</v>
      </c>
      <c r="C4" s="27" t="s">
        <v>23</v>
      </c>
      <c r="D4" s="27" t="s">
        <v>23</v>
      </c>
      <c r="E4" s="27" t="s">
        <v>23</v>
      </c>
      <c r="F4" s="27" t="s">
        <v>23</v>
      </c>
      <c r="G4" s="27" t="s">
        <v>23</v>
      </c>
      <c r="H4" s="27" t="s">
        <v>23</v>
      </c>
      <c r="I4" s="27" t="s">
        <v>23</v>
      </c>
      <c r="J4" s="27" t="s">
        <v>23</v>
      </c>
      <c r="K4" s="27" t="s">
        <v>23</v>
      </c>
      <c r="L4" s="27" t="s">
        <v>23</v>
      </c>
    </row>
    <row r="5" spans="1:12" x14ac:dyDescent="0.3">
      <c r="A5" s="33">
        <v>50</v>
      </c>
      <c r="B5" s="27" t="s">
        <v>23</v>
      </c>
      <c r="C5" s="27" t="s">
        <v>23</v>
      </c>
      <c r="D5" s="27" t="s">
        <v>23</v>
      </c>
      <c r="E5" s="27" t="s">
        <v>23</v>
      </c>
      <c r="F5" s="27" t="s">
        <v>23</v>
      </c>
      <c r="G5" s="27" t="s">
        <v>23</v>
      </c>
      <c r="H5" s="27" t="s">
        <v>23</v>
      </c>
      <c r="I5" s="27" t="s">
        <v>23</v>
      </c>
      <c r="J5" s="27" t="s">
        <v>23</v>
      </c>
      <c r="K5" s="27" t="s">
        <v>23</v>
      </c>
      <c r="L5" s="27" t="s">
        <v>23</v>
      </c>
    </row>
    <row r="6" spans="1:12" x14ac:dyDescent="0.3">
      <c r="A6" s="33">
        <v>100</v>
      </c>
      <c r="B6" s="27" t="s">
        <v>23</v>
      </c>
      <c r="C6" s="27" t="s">
        <v>23</v>
      </c>
      <c r="D6" s="27" t="s">
        <v>23</v>
      </c>
      <c r="E6" s="27" t="s">
        <v>23</v>
      </c>
      <c r="F6" s="27" t="s">
        <v>23</v>
      </c>
      <c r="G6" s="27" t="s">
        <v>23</v>
      </c>
      <c r="H6" s="27" t="s">
        <v>23</v>
      </c>
      <c r="I6" s="27" t="s">
        <v>23</v>
      </c>
      <c r="J6" s="27" t="s">
        <v>23</v>
      </c>
      <c r="K6" s="27" t="s">
        <v>23</v>
      </c>
      <c r="L6" s="27" t="s">
        <v>23</v>
      </c>
    </row>
    <row r="7" spans="1:12" x14ac:dyDescent="0.3">
      <c r="A7" s="33">
        <v>150</v>
      </c>
      <c r="B7" s="27" t="s">
        <v>23</v>
      </c>
      <c r="C7" s="27" t="s">
        <v>23</v>
      </c>
      <c r="D7" s="27" t="s">
        <v>23</v>
      </c>
      <c r="E7" s="27" t="s">
        <v>23</v>
      </c>
      <c r="F7" s="27" t="s">
        <v>23</v>
      </c>
      <c r="G7" s="27" t="s">
        <v>23</v>
      </c>
      <c r="H7" s="27" t="s">
        <v>23</v>
      </c>
      <c r="I7" s="27" t="s">
        <v>23</v>
      </c>
      <c r="J7" s="27" t="s">
        <v>23</v>
      </c>
      <c r="K7" s="27" t="s">
        <v>23</v>
      </c>
      <c r="L7" s="27" t="s">
        <v>23</v>
      </c>
    </row>
    <row r="8" spans="1:12" x14ac:dyDescent="0.3">
      <c r="A8" s="33">
        <v>200</v>
      </c>
      <c r="B8" s="27" t="s">
        <v>23</v>
      </c>
      <c r="C8" s="27" t="s">
        <v>23</v>
      </c>
      <c r="D8" s="27" t="s">
        <v>23</v>
      </c>
      <c r="E8" s="27" t="s">
        <v>23</v>
      </c>
      <c r="F8" s="27" t="s">
        <v>23</v>
      </c>
      <c r="G8" s="27" t="s">
        <v>23</v>
      </c>
      <c r="H8" s="27" t="s">
        <v>23</v>
      </c>
      <c r="I8" s="27" t="s">
        <v>23</v>
      </c>
      <c r="J8" s="27" t="s">
        <v>23</v>
      </c>
      <c r="K8" s="27" t="s">
        <v>23</v>
      </c>
      <c r="L8" s="27" t="s">
        <v>23</v>
      </c>
    </row>
    <row r="9" spans="1:12" x14ac:dyDescent="0.3">
      <c r="A9" s="33">
        <v>250</v>
      </c>
      <c r="B9" s="27" t="s">
        <v>23</v>
      </c>
      <c r="C9" s="27" t="s">
        <v>23</v>
      </c>
      <c r="D9" s="27" t="s">
        <v>23</v>
      </c>
      <c r="E9" s="27" t="s">
        <v>23</v>
      </c>
      <c r="F9" s="27" t="s">
        <v>23</v>
      </c>
      <c r="G9" s="27" t="s">
        <v>23</v>
      </c>
      <c r="H9" s="27" t="s">
        <v>23</v>
      </c>
      <c r="I9" s="27" t="s">
        <v>23</v>
      </c>
      <c r="J9" s="27" t="s">
        <v>23</v>
      </c>
      <c r="K9" s="27" t="s">
        <v>23</v>
      </c>
      <c r="L9" s="27" t="s">
        <v>23</v>
      </c>
    </row>
    <row r="10" spans="1:12" x14ac:dyDescent="0.3">
      <c r="A10" s="33">
        <v>300</v>
      </c>
      <c r="B10" s="27" t="s">
        <v>23</v>
      </c>
      <c r="C10" s="27" t="s">
        <v>23</v>
      </c>
      <c r="D10" s="27" t="s">
        <v>23</v>
      </c>
      <c r="E10" s="27" t="s">
        <v>23</v>
      </c>
      <c r="F10" s="27" t="s">
        <v>23</v>
      </c>
      <c r="G10" s="27" t="s">
        <v>23</v>
      </c>
      <c r="H10" s="27" t="s">
        <v>23</v>
      </c>
      <c r="I10" s="27" t="s">
        <v>23</v>
      </c>
      <c r="J10" s="27" t="s">
        <v>23</v>
      </c>
      <c r="K10" s="27" t="s">
        <v>23</v>
      </c>
      <c r="L10" s="27" t="s">
        <v>23</v>
      </c>
    </row>
    <row r="11" spans="1:12" x14ac:dyDescent="0.3">
      <c r="A11" s="34">
        <v>350</v>
      </c>
      <c r="B11" s="27" t="s">
        <v>23</v>
      </c>
      <c r="C11" s="27" t="s">
        <v>23</v>
      </c>
      <c r="D11" s="27" t="s">
        <v>23</v>
      </c>
      <c r="E11" s="27" t="s">
        <v>23</v>
      </c>
      <c r="F11" s="27" t="s">
        <v>23</v>
      </c>
      <c r="G11" s="27" t="s">
        <v>23</v>
      </c>
      <c r="H11" s="27" t="s">
        <v>23</v>
      </c>
      <c r="I11" s="27" t="s">
        <v>23</v>
      </c>
      <c r="J11" s="27" t="s">
        <v>23</v>
      </c>
      <c r="K11" s="27" t="s">
        <v>23</v>
      </c>
      <c r="L11" s="27" t="s">
        <v>23</v>
      </c>
    </row>
  </sheetData>
  <mergeCells count="1">
    <mergeCell ref="B2:L2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workbookViewId="0">
      <selection activeCell="R10" sqref="R10"/>
    </sheetView>
  </sheetViews>
  <sheetFormatPr defaultColWidth="8.88671875" defaultRowHeight="14.4" x14ac:dyDescent="0.3"/>
  <cols>
    <col min="1" max="16384" width="8.88671875" style="2"/>
  </cols>
  <sheetData>
    <row r="1" spans="1:16" ht="15" thickBot="1" x14ac:dyDescent="0.35">
      <c r="A1" s="4" t="s">
        <v>6</v>
      </c>
      <c r="B1" s="4"/>
      <c r="C1" s="85" t="s">
        <v>4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</row>
    <row r="2" spans="1:16" ht="15" thickBot="1" x14ac:dyDescent="0.35">
      <c r="A2" s="5" t="s">
        <v>0</v>
      </c>
      <c r="B2" s="13">
        <v>0</v>
      </c>
      <c r="C2" s="6">
        <v>1</v>
      </c>
      <c r="D2" s="7">
        <v>2</v>
      </c>
      <c r="E2" s="6">
        <v>3</v>
      </c>
      <c r="F2" s="7">
        <v>4</v>
      </c>
      <c r="G2" s="6">
        <v>5</v>
      </c>
      <c r="H2" s="7">
        <v>6</v>
      </c>
      <c r="I2" s="6">
        <v>7</v>
      </c>
      <c r="J2" s="7">
        <v>8</v>
      </c>
      <c r="K2" s="6">
        <v>9</v>
      </c>
      <c r="L2" s="7">
        <v>10</v>
      </c>
      <c r="M2" s="6">
        <v>11</v>
      </c>
      <c r="N2" s="7">
        <v>12</v>
      </c>
      <c r="O2" s="6">
        <v>13</v>
      </c>
      <c r="P2" s="7">
        <v>14</v>
      </c>
    </row>
    <row r="3" spans="1:16" x14ac:dyDescent="0.3">
      <c r="A3" s="8">
        <v>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</row>
    <row r="4" spans="1:16" ht="15" thickBot="1" x14ac:dyDescent="0.35">
      <c r="A4" s="9">
        <v>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</sheetData>
  <mergeCells count="1">
    <mergeCell ref="C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>
      <selection activeCell="L14" sqref="L14:L16"/>
    </sheetView>
  </sheetViews>
  <sheetFormatPr defaultColWidth="8.88671875" defaultRowHeight="14.4" x14ac:dyDescent="0.3"/>
  <cols>
    <col min="1" max="16384" width="8.88671875" style="2"/>
  </cols>
  <sheetData>
    <row r="1" spans="1:16" ht="15" thickBot="1" x14ac:dyDescent="0.35">
      <c r="A1" s="4" t="s">
        <v>5</v>
      </c>
      <c r="B1" s="4"/>
      <c r="C1" s="87" t="s">
        <v>4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ht="15" thickBot="1" x14ac:dyDescent="0.35">
      <c r="A2" s="5" t="s">
        <v>0</v>
      </c>
      <c r="B2" s="13">
        <v>0</v>
      </c>
      <c r="C2" s="6">
        <v>1</v>
      </c>
      <c r="D2" s="7">
        <v>2</v>
      </c>
      <c r="E2" s="6">
        <v>3</v>
      </c>
      <c r="F2" s="7">
        <v>4</v>
      </c>
      <c r="G2" s="6">
        <v>5</v>
      </c>
      <c r="H2" s="7">
        <v>6</v>
      </c>
      <c r="I2" s="6">
        <v>7</v>
      </c>
      <c r="J2" s="7">
        <v>8</v>
      </c>
      <c r="K2" s="6">
        <v>9</v>
      </c>
      <c r="L2" s="7">
        <v>10</v>
      </c>
      <c r="M2" s="6">
        <v>11</v>
      </c>
      <c r="N2" s="7">
        <v>12</v>
      </c>
      <c r="O2" s="6">
        <v>13</v>
      </c>
      <c r="P2" s="7">
        <v>14</v>
      </c>
    </row>
    <row r="3" spans="1:16" x14ac:dyDescent="0.3">
      <c r="A3" s="8">
        <v>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</row>
    <row r="4" spans="1:16" ht="15" thickBot="1" x14ac:dyDescent="0.35">
      <c r="A4" s="9">
        <v>2</v>
      </c>
      <c r="B4" s="14">
        <v>0</v>
      </c>
      <c r="C4" s="14">
        <v>0</v>
      </c>
      <c r="D4" s="14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</row>
  </sheetData>
  <mergeCells count="1">
    <mergeCell ref="C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selection activeCell="C18" sqref="C18:C19"/>
    </sheetView>
  </sheetViews>
  <sheetFormatPr defaultColWidth="8.88671875" defaultRowHeight="14.4" x14ac:dyDescent="0.3"/>
  <cols>
    <col min="1" max="2" width="12.33203125" style="2" customWidth="1"/>
    <col min="3" max="16384" width="8.88671875" style="2"/>
  </cols>
  <sheetData>
    <row r="1" spans="1:3" ht="15" thickBot="1" x14ac:dyDescent="0.35">
      <c r="A1" s="10" t="s">
        <v>0</v>
      </c>
      <c r="B1" s="11" t="s">
        <v>7</v>
      </c>
      <c r="C1" s="11" t="s">
        <v>8</v>
      </c>
    </row>
    <row r="2" spans="1:3" ht="15" thickBot="1" x14ac:dyDescent="0.3">
      <c r="A2" s="16">
        <v>1</v>
      </c>
      <c r="B2" s="17">
        <v>2</v>
      </c>
      <c r="C2" s="18">
        <v>3</v>
      </c>
    </row>
    <row r="3" spans="1:3" ht="15" thickBot="1" x14ac:dyDescent="0.35">
      <c r="A3" s="12">
        <v>2</v>
      </c>
      <c r="B3" s="12">
        <v>0</v>
      </c>
      <c r="C3" s="12">
        <v>0</v>
      </c>
    </row>
    <row r="4" spans="1:3" ht="15" thickBot="1" x14ac:dyDescent="0.35">
      <c r="A4" s="12">
        <v>3</v>
      </c>
      <c r="B4" s="12">
        <v>0</v>
      </c>
      <c r="C4" s="12">
        <v>0</v>
      </c>
    </row>
    <row r="5" spans="1:3" ht="15" thickBot="1" x14ac:dyDescent="0.35">
      <c r="A5" s="12">
        <v>4</v>
      </c>
      <c r="B5" s="12">
        <v>0</v>
      </c>
      <c r="C5" s="12">
        <v>0</v>
      </c>
    </row>
    <row r="6" spans="1:3" ht="15" thickBot="1" x14ac:dyDescent="0.35">
      <c r="A6" s="12">
        <v>5</v>
      </c>
      <c r="B6" s="12">
        <v>0</v>
      </c>
      <c r="C6" s="12">
        <v>0</v>
      </c>
    </row>
    <row r="7" spans="1:3" x14ac:dyDescent="0.3">
      <c r="A7" s="12">
        <v>6</v>
      </c>
      <c r="B7" s="12">
        <v>0</v>
      </c>
      <c r="C7" s="1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A3" sqref="A3"/>
    </sheetView>
  </sheetViews>
  <sheetFormatPr defaultColWidth="8.88671875" defaultRowHeight="14.4" x14ac:dyDescent="0.3"/>
  <cols>
    <col min="1" max="1" width="13.5546875" style="23" customWidth="1"/>
    <col min="2" max="16384" width="8.88671875" style="23"/>
  </cols>
  <sheetData>
    <row r="1" spans="1:1" x14ac:dyDescent="0.3">
      <c r="A1" s="26" t="s">
        <v>9</v>
      </c>
    </row>
    <row r="2" spans="1:1" x14ac:dyDescent="0.3">
      <c r="A2" s="23">
        <v>0.31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1f4605-e15c-4135-bd96-d3970596b173" xsi:nil="true"/>
    <lcf76f155ced4ddcb4097134ff3c332f xmlns="71e126cb-1963-4e7b-b13a-15d2f64f78e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FB3C36-37BF-4E58-95A3-952BDBDF3ECD}"/>
</file>

<file path=customXml/itemProps2.xml><?xml version="1.0" encoding="utf-8"?>
<ds:datastoreItem xmlns:ds="http://schemas.openxmlformats.org/officeDocument/2006/customXml" ds:itemID="{8F4C9385-3AC8-47DE-AFE0-2EB8CD8856F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EB181C-B032-4B55-8488-B934A42A5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Sd_nopeak</vt:lpstr>
      <vt:lpstr>Young Modulus</vt:lpstr>
      <vt:lpstr>Fatigue Curves</vt:lpstr>
      <vt:lpstr>Sm</vt:lpstr>
      <vt:lpstr>Keff_rec</vt:lpstr>
      <vt:lpstr>Sy_min</vt:lpstr>
      <vt:lpstr>Su_min</vt:lpstr>
      <vt:lpstr>Sd</vt:lpstr>
      <vt:lpstr>Se</vt:lpstr>
      <vt:lpstr>Keps</vt:lpstr>
      <vt:lpstr>Kmu</vt:lpstr>
      <vt:lpstr>K-m</vt:lpstr>
      <vt:lpstr>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Davide Laghi</cp:lastModifiedBy>
  <dcterms:created xsi:type="dcterms:W3CDTF">2020-03-06T09:01:04Z</dcterms:created>
  <dcterms:modified xsi:type="dcterms:W3CDTF">2021-04-26T08:17:10Z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